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!_ObsidianVaults\obsidian\library\diy\3d print\assets\"/>
    </mc:Choice>
  </mc:AlternateContent>
  <bookViews>
    <workbookView xWindow="-120" yWindow="-120" windowWidth="38640" windowHeight="21120"/>
  </bookViews>
  <sheets>
    <sheet name="Калькулятор печати" sheetId="1" r:id="rId1"/>
    <sheet name="Материалы" sheetId="3" r:id="rId2"/>
    <sheet name="print_history" sheetId="7" r:id="rId3"/>
  </sheets>
  <definedNames>
    <definedName name="_xlnm._FilterDatabase" localSheetId="0" hidden="1">'Калькулятор печати'!$D$1:$H$9</definedName>
    <definedName name="ExternalData_1" localSheetId="2" hidden="1">print_history!$A$1:$H$385</definedName>
    <definedName name="printjob">print_history!$A$2:$N$1021</definedName>
    <definedName name="Материалы">Материалы!$A$3:$D$9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50" i="7" l="1"/>
  <c r="J350" i="7"/>
  <c r="K350" i="7"/>
  <c r="I351" i="7"/>
  <c r="J351" i="7"/>
  <c r="K351" i="7"/>
  <c r="I352" i="7"/>
  <c r="J352" i="7"/>
  <c r="K352" i="7"/>
  <c r="I353" i="7"/>
  <c r="J353" i="7"/>
  <c r="K353" i="7"/>
  <c r="I354" i="7"/>
  <c r="J354" i="7"/>
  <c r="K354" i="7"/>
  <c r="I355" i="7"/>
  <c r="J355" i="7"/>
  <c r="K355" i="7"/>
  <c r="I356" i="7"/>
  <c r="J356" i="7"/>
  <c r="K356" i="7"/>
  <c r="I357" i="7"/>
  <c r="J357" i="7"/>
  <c r="K357" i="7"/>
  <c r="I358" i="7"/>
  <c r="J358" i="7"/>
  <c r="K358" i="7"/>
  <c r="I359" i="7"/>
  <c r="J359" i="7"/>
  <c r="K359" i="7"/>
  <c r="I360" i="7"/>
  <c r="J360" i="7"/>
  <c r="K360" i="7"/>
  <c r="I361" i="7"/>
  <c r="J361" i="7"/>
  <c r="K361" i="7"/>
  <c r="I362" i="7"/>
  <c r="J362" i="7"/>
  <c r="K362" i="7"/>
  <c r="I363" i="7"/>
  <c r="J363" i="7"/>
  <c r="K363" i="7"/>
  <c r="I364" i="7"/>
  <c r="J364" i="7"/>
  <c r="K364" i="7"/>
  <c r="I365" i="7"/>
  <c r="J365" i="7"/>
  <c r="K365" i="7"/>
  <c r="I366" i="7"/>
  <c r="J366" i="7"/>
  <c r="K366" i="7"/>
  <c r="I367" i="7"/>
  <c r="J367" i="7"/>
  <c r="K367" i="7"/>
  <c r="I368" i="7"/>
  <c r="J368" i="7"/>
  <c r="K368" i="7"/>
  <c r="I369" i="7"/>
  <c r="J369" i="7"/>
  <c r="K369" i="7"/>
  <c r="I370" i="7"/>
  <c r="J370" i="7"/>
  <c r="K370" i="7"/>
  <c r="I371" i="7"/>
  <c r="J371" i="7"/>
  <c r="K371" i="7"/>
  <c r="I372" i="7"/>
  <c r="J372" i="7"/>
  <c r="K372" i="7"/>
  <c r="I373" i="7"/>
  <c r="J373" i="7"/>
  <c r="K373" i="7"/>
  <c r="I374" i="7"/>
  <c r="J374" i="7"/>
  <c r="K374" i="7"/>
  <c r="I375" i="7"/>
  <c r="J375" i="7"/>
  <c r="K375" i="7"/>
  <c r="I376" i="7"/>
  <c r="J376" i="7"/>
  <c r="K376" i="7"/>
  <c r="I377" i="7"/>
  <c r="J377" i="7"/>
  <c r="K377" i="7"/>
  <c r="I378" i="7"/>
  <c r="J378" i="7"/>
  <c r="K378" i="7"/>
  <c r="I379" i="7"/>
  <c r="J379" i="7"/>
  <c r="K379" i="7"/>
  <c r="I380" i="7"/>
  <c r="J380" i="7"/>
  <c r="K380" i="7"/>
  <c r="I381" i="7"/>
  <c r="J381" i="7"/>
  <c r="K381" i="7"/>
  <c r="I382" i="7"/>
  <c r="J382" i="7"/>
  <c r="K382" i="7"/>
  <c r="I383" i="7"/>
  <c r="J383" i="7"/>
  <c r="K383" i="7"/>
  <c r="I384" i="7"/>
  <c r="J384" i="7"/>
  <c r="K384" i="7"/>
  <c r="I385" i="7"/>
  <c r="J385" i="7"/>
  <c r="K385" i="7"/>
  <c r="E12" i="1"/>
  <c r="H4" i="1"/>
  <c r="I284" i="7" l="1"/>
  <c r="J284" i="7"/>
  <c r="K284" i="7"/>
  <c r="I285" i="7"/>
  <c r="J285" i="7"/>
  <c r="K285" i="7"/>
  <c r="I286" i="7"/>
  <c r="J286" i="7"/>
  <c r="K286" i="7"/>
  <c r="I287" i="7"/>
  <c r="J287" i="7"/>
  <c r="K287" i="7"/>
  <c r="I288" i="7"/>
  <c r="J288" i="7"/>
  <c r="K288" i="7"/>
  <c r="I289" i="7"/>
  <c r="J289" i="7"/>
  <c r="K289" i="7"/>
  <c r="I290" i="7"/>
  <c r="J290" i="7"/>
  <c r="K290" i="7"/>
  <c r="I291" i="7"/>
  <c r="J291" i="7"/>
  <c r="K291" i="7"/>
  <c r="I292" i="7"/>
  <c r="J292" i="7"/>
  <c r="K292" i="7"/>
  <c r="I293" i="7"/>
  <c r="J293" i="7"/>
  <c r="K293" i="7"/>
  <c r="I294" i="7"/>
  <c r="J294" i="7"/>
  <c r="K294" i="7"/>
  <c r="I295" i="7"/>
  <c r="J295" i="7"/>
  <c r="K295" i="7"/>
  <c r="I296" i="7"/>
  <c r="J296" i="7"/>
  <c r="K296" i="7"/>
  <c r="I297" i="7"/>
  <c r="J297" i="7"/>
  <c r="K297" i="7"/>
  <c r="I298" i="7"/>
  <c r="J298" i="7"/>
  <c r="K298" i="7"/>
  <c r="I299" i="7"/>
  <c r="J299" i="7"/>
  <c r="K299" i="7"/>
  <c r="I300" i="7"/>
  <c r="J300" i="7"/>
  <c r="K300" i="7"/>
  <c r="I301" i="7"/>
  <c r="J301" i="7"/>
  <c r="K301" i="7"/>
  <c r="I302" i="7"/>
  <c r="J302" i="7"/>
  <c r="K302" i="7"/>
  <c r="I303" i="7"/>
  <c r="J303" i="7"/>
  <c r="K303" i="7"/>
  <c r="I304" i="7"/>
  <c r="J304" i="7"/>
  <c r="K304" i="7"/>
  <c r="I305" i="7"/>
  <c r="J305" i="7"/>
  <c r="K305" i="7"/>
  <c r="I306" i="7"/>
  <c r="J306" i="7"/>
  <c r="K306" i="7"/>
  <c r="I307" i="7"/>
  <c r="J307" i="7"/>
  <c r="K307" i="7"/>
  <c r="I308" i="7"/>
  <c r="J308" i="7"/>
  <c r="K308" i="7"/>
  <c r="I309" i="7"/>
  <c r="J309" i="7"/>
  <c r="K309" i="7"/>
  <c r="I310" i="7"/>
  <c r="J310" i="7"/>
  <c r="K310" i="7"/>
  <c r="I311" i="7"/>
  <c r="J311" i="7"/>
  <c r="K311" i="7"/>
  <c r="I312" i="7"/>
  <c r="J312" i="7"/>
  <c r="K312" i="7"/>
  <c r="I313" i="7"/>
  <c r="J313" i="7"/>
  <c r="K313" i="7"/>
  <c r="I314" i="7"/>
  <c r="J314" i="7"/>
  <c r="K314" i="7"/>
  <c r="I315" i="7"/>
  <c r="J315" i="7"/>
  <c r="K315" i="7"/>
  <c r="I316" i="7"/>
  <c r="J316" i="7"/>
  <c r="K316" i="7"/>
  <c r="I317" i="7"/>
  <c r="J317" i="7"/>
  <c r="K317" i="7"/>
  <c r="I318" i="7"/>
  <c r="J318" i="7"/>
  <c r="K318" i="7"/>
  <c r="I319" i="7"/>
  <c r="J319" i="7"/>
  <c r="K319" i="7"/>
  <c r="I320" i="7"/>
  <c r="J320" i="7"/>
  <c r="K320" i="7"/>
  <c r="I321" i="7"/>
  <c r="J321" i="7"/>
  <c r="K321" i="7"/>
  <c r="I322" i="7"/>
  <c r="J322" i="7"/>
  <c r="K322" i="7"/>
  <c r="I323" i="7"/>
  <c r="J323" i="7"/>
  <c r="K323" i="7"/>
  <c r="I324" i="7"/>
  <c r="J324" i="7"/>
  <c r="K324" i="7"/>
  <c r="I325" i="7"/>
  <c r="J325" i="7"/>
  <c r="K325" i="7"/>
  <c r="I326" i="7"/>
  <c r="J326" i="7"/>
  <c r="K326" i="7"/>
  <c r="I327" i="7"/>
  <c r="J327" i="7"/>
  <c r="K327" i="7"/>
  <c r="I328" i="7"/>
  <c r="J328" i="7"/>
  <c r="K328" i="7"/>
  <c r="I329" i="7"/>
  <c r="J329" i="7"/>
  <c r="K329" i="7"/>
  <c r="I330" i="7"/>
  <c r="J330" i="7"/>
  <c r="K330" i="7"/>
  <c r="I331" i="7"/>
  <c r="J331" i="7"/>
  <c r="K331" i="7"/>
  <c r="I332" i="7"/>
  <c r="J332" i="7"/>
  <c r="K332" i="7"/>
  <c r="I333" i="7"/>
  <c r="J333" i="7"/>
  <c r="K333" i="7"/>
  <c r="I334" i="7"/>
  <c r="J334" i="7"/>
  <c r="K334" i="7"/>
  <c r="I335" i="7"/>
  <c r="J335" i="7"/>
  <c r="K335" i="7"/>
  <c r="I336" i="7"/>
  <c r="J336" i="7"/>
  <c r="K336" i="7"/>
  <c r="I337" i="7"/>
  <c r="J337" i="7"/>
  <c r="K337" i="7"/>
  <c r="I338" i="7"/>
  <c r="J338" i="7"/>
  <c r="K338" i="7"/>
  <c r="I339" i="7"/>
  <c r="J339" i="7"/>
  <c r="K339" i="7"/>
  <c r="I340" i="7"/>
  <c r="J340" i="7"/>
  <c r="K340" i="7"/>
  <c r="I341" i="7"/>
  <c r="J341" i="7"/>
  <c r="K341" i="7"/>
  <c r="I342" i="7"/>
  <c r="J342" i="7"/>
  <c r="K342" i="7"/>
  <c r="I343" i="7"/>
  <c r="J343" i="7"/>
  <c r="K343" i="7"/>
  <c r="I344" i="7"/>
  <c r="J344" i="7"/>
  <c r="K344" i="7"/>
  <c r="I345" i="7"/>
  <c r="J345" i="7"/>
  <c r="K345" i="7"/>
  <c r="I346" i="7"/>
  <c r="J346" i="7"/>
  <c r="K346" i="7"/>
  <c r="I347" i="7"/>
  <c r="J347" i="7"/>
  <c r="K347" i="7"/>
  <c r="I348" i="7"/>
  <c r="J348" i="7"/>
  <c r="K348" i="7"/>
  <c r="I349" i="7"/>
  <c r="J349" i="7"/>
  <c r="K349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K255" i="7"/>
  <c r="K256" i="7"/>
  <c r="K257" i="7"/>
  <c r="K258" i="7"/>
  <c r="J255" i="7"/>
  <c r="J256" i="7"/>
  <c r="J257" i="7"/>
  <c r="J258" i="7"/>
  <c r="I255" i="7"/>
  <c r="I256" i="7"/>
  <c r="I257" i="7"/>
  <c r="I258" i="7"/>
  <c r="E4" i="1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D2" i="1"/>
  <c r="H6" i="1"/>
  <c r="H1" i="1"/>
  <c r="I3" i="7"/>
  <c r="J3" i="7"/>
  <c r="K3" i="7"/>
  <c r="J2" i="7"/>
  <c r="I2" i="7"/>
  <c r="K2" i="7"/>
  <c r="E11" i="1"/>
  <c r="E13" i="1"/>
  <c r="G5" i="1" l="1"/>
  <c r="E14" i="1" s="1"/>
  <c r="G7" i="1"/>
  <c r="E15" i="1" s="1"/>
  <c r="G8" i="1"/>
  <c r="G11" i="1"/>
  <c r="B18" i="1"/>
  <c r="B19" i="1" s="1"/>
  <c r="B8" i="1"/>
  <c r="B9" i="1" s="1"/>
  <c r="B10" i="1" s="1"/>
  <c r="B11" i="1" s="1"/>
  <c r="B12" i="1" s="1"/>
  <c r="B13" i="1" s="1"/>
  <c r="B20" i="1" l="1"/>
  <c r="E16" i="1"/>
  <c r="G14" i="1" l="1"/>
  <c r="E17" i="1"/>
  <c r="G18" i="1" s="1"/>
</calcChain>
</file>

<file path=xl/connections.xml><?xml version="1.0" encoding="utf-8"?>
<connections xmlns="http://schemas.openxmlformats.org/spreadsheetml/2006/main">
  <connection id="1" keepAlive="1" name="Запрос — print_history_2025-02-13" description="Соединение с запросом &quot;print_history_2025-02-13&quot; в книге." type="5" refreshedVersion="7" background="1" saveData="1">
    <dbPr connection="Provider=Microsoft.Mashup.OleDb.1;Data Source=$Workbook$;Location=print_history_2025-02-13;Extended Properties=&quot;&quot;" command="SELECT * FROM [print_history_2025-02-13]"/>
  </connection>
  <connection id="2" keepAlive="1" name="Запрос — print_history_2025-02-16" description="Соединение с запросом &quot;print_history_2025-02-16&quot; в книге." type="5" refreshedVersion="0" background="1">
    <dbPr connection="Provider=Microsoft.Mashup.OleDb.1;Data Source=$Workbook$;Location=print_history_2025-02-16;Extended Properties=&quot;&quot;" command="SELECT * FROM [print_history_2025-02-16]"/>
  </connection>
  <connection id="3" keepAlive="1" name="Запрос — print_history_2025-02-16 (2)" description="Соединение с запросом &quot;print_history_2025-02-16 (2)&quot; в книге." type="5" refreshedVersion="0" background="1">
    <dbPr connection="Provider=Microsoft.Mashup.OleDb.1;Data Source=$Workbook$;Location=&quot;print_history_2025-02-16 (2)&quot;;Extended Properties=&quot;&quot;" command="SELECT * FROM [print_history_2025-02-16 (2)]"/>
  </connection>
  <connection id="4" keepAlive="1" name="Запрос — print_history_2025-02-16 (3)" description="Соединение с запросом &quot;print_history_2025-02-16 (3)&quot; в книге." type="5" refreshedVersion="0" background="1">
    <dbPr connection="Provider=Microsoft.Mashup.OleDb.1;Data Source=$Workbook$;Location=&quot;print_history_2025-02-16 (3)&quot;;Extended Properties=&quot;&quot;" command="SELECT * FROM [print_history_2025-02-16 (3)]"/>
  </connection>
  <connection id="5" keepAlive="1" name="Запрос — print_history_2025-02-20" description="Соединение с запросом &quot;print_history_2025-02-20&quot; в книге." type="5" refreshedVersion="0" background="1">
    <dbPr connection="Provider=Microsoft.Mashup.OleDb.1;Data Source=$Workbook$;Location=print_history_2025-02-20;Extended Properties=&quot;&quot;" command="SELECT * FROM [print_history_2025-02-20]"/>
  </connection>
  <connection id="6" keepAlive="1" name="Запрос — print_history_2025-02-23" description="Соединение с запросом &quot;print_history_2025-02-23&quot; в книге." type="5" refreshedVersion="0" background="1">
    <dbPr connection="Provider=Microsoft.Mashup.OleDb.1;Data Source=$Workbook$;Location=print_history_2025-02-23;Extended Properties=&quot;&quot;" command="SELECT * FROM [print_history_2025-02-23]"/>
  </connection>
  <connection id="7" keepAlive="1" name="Запрос — print_history_2025-03-06" description="Соединение с запросом &quot;print_history_2025-03-06&quot; в книге." type="5" refreshedVersion="0" background="1">
    <dbPr connection="Provider=Microsoft.Mashup.OleDb.1;Data Source=$Workbook$;Location=print_history_2025-03-06;Extended Properties=&quot;&quot;" command="SELECT * FROM [print_history_2025-03-06]"/>
  </connection>
  <connection id="8" keepAlive="1" name="Запрос — print_history_2025-03-29" description="Соединение с запросом &quot;print_history_2025-03-29&quot; в книге." type="5" refreshedVersion="0" background="1">
    <dbPr connection="Provider=Microsoft.Mashup.OleDb.1;Data Source=$Workbook$;Location=print_history_2025-03-29;Extended Properties=&quot;&quot;" command="SELECT * FROM [print_history_2025-03-29]"/>
  </connection>
  <connection id="9" keepAlive="1" name="Запрос — print_history_2025-03-30" description="Соединение с запросом &quot;print_history_2025-03-30&quot; в книге." type="5" refreshedVersion="0" background="1">
    <dbPr connection="Provider=Microsoft.Mashup.OleDb.1;Data Source=$Workbook$;Location=print_history_2025-03-30;Extended Properties=&quot;&quot;" command="SELECT * FROM [print_history_2025-03-30]"/>
  </connection>
  <connection id="10" keepAlive="1" name="Запрос — print_history_2025-11-07" description="Соединение с запросом &quot;print_history_2025-11-07&quot; в книге." type="5" refreshedVersion="0" background="1">
    <dbPr connection="Provider=Microsoft.Mashup.OleDb.1;Data Source=$Workbook$;Location=print_history_2025-11-07;Extended Properties=&quot;&quot;" command="SELECT * FROM [print_history_2025-11-07]"/>
  </connection>
  <connection id="11" keepAlive="1" name="Запрос — print_history2025-04-13" description="Соединение с запросом &quot;print_history2025-04-13&quot; в книге." type="5" refreshedVersion="0" background="1">
    <dbPr connection="Provider=Microsoft.Mashup.OleDb.1;Data Source=$Workbook$;Location=print_history2025-04-13;Extended Properties=&quot;&quot;" command="SELECT * FROM [print_history2025-04-13]"/>
  </connection>
  <connection id="12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  <connection id="13" keepAlive="1" name="Запрос — Таблица3" description="Соединение с запросом &quot;Таблица3&quot; в книге." type="5" refreshedVersion="0" background="1">
    <dbPr connection="Provider=Microsoft.Mashup.OleDb.1;Data Source=$Workbook$;Location=Таблица3;Extended Properties=&quot;&quot;" command="SELECT * FROM [Таблица3]"/>
  </connection>
</connections>
</file>

<file path=xl/sharedStrings.xml><?xml version="1.0" encoding="utf-8"?>
<sst xmlns="http://schemas.openxmlformats.org/spreadsheetml/2006/main" count="1355" uniqueCount="516">
  <si>
    <t>Годовая норма амортизации</t>
  </si>
  <si>
    <t>Ежемесячная сумма амортизации, ₽</t>
  </si>
  <si>
    <t>Ежегодная сумма амортизации, ₽</t>
  </si>
  <si>
    <t>Упрощенная амортизация (за час работы), ₽</t>
  </si>
  <si>
    <t>Упрощенная амортизация (за минуту работы), ₽</t>
  </si>
  <si>
    <t>Ежедневная сумма амортизации, ₽</t>
  </si>
  <si>
    <t>Амортизация в минуту (8 часовая смена), ₽</t>
  </si>
  <si>
    <t>Амортизация в час (8 часовая смена), ₽</t>
  </si>
  <si>
    <t>Линейный способ расчёта амортизационной стоимости</t>
  </si>
  <si>
    <t>Дата начала эксплуатации</t>
  </si>
  <si>
    <t>Дата конца эксплуатации</t>
  </si>
  <si>
    <t>Рабочих часов за время эксплуатации</t>
  </si>
  <si>
    <t>Пропорциональный способ расчёта амортизации. Если считать, что принтер способен работать 8 часов в день по 5 дней в неделю. Получается примерно 2000 часов в год. Тогда амортизация за час работы будет 1/2000 в расчёте на один год. Если срок полезного использования 3 года то 1/6000 соответственно.</t>
  </si>
  <si>
    <t>Первоначальная стоимость оборудования, ₽</t>
  </si>
  <si>
    <t>Срок полезного использования, лет</t>
  </si>
  <si>
    <t>Стоимость электроэнергии кВт, ₽</t>
  </si>
  <si>
    <t>Стоимость дополнительных материалов, ₽</t>
  </si>
  <si>
    <t>Стоимость работы оператора, ₽\час</t>
  </si>
  <si>
    <t>Стоимость работы дизайнера, ₽\час</t>
  </si>
  <si>
    <t>Время моделирования, час</t>
  </si>
  <si>
    <t>Время подготовки, час</t>
  </si>
  <si>
    <t>Время печати, час</t>
  </si>
  <si>
    <t>Время постобработки, час</t>
  </si>
  <si>
    <t>Вес изделия, г</t>
  </si>
  <si>
    <t>Длина использованного материала, м</t>
  </si>
  <si>
    <t>Стоимость материала, ₽\кг</t>
  </si>
  <si>
    <t>Название материала</t>
  </si>
  <si>
    <t>Потребляемая мощность оборудования, кВт</t>
  </si>
  <si>
    <t>Стоимость электроэнергии на печать</t>
  </si>
  <si>
    <t>Стоимость работ</t>
  </si>
  <si>
    <t>Стоимость готовой модели, ₽</t>
  </si>
  <si>
    <t>PETG-NIT-W2</t>
  </si>
  <si>
    <t>PETG-NIT-W1</t>
  </si>
  <si>
    <t>Материал</t>
  </si>
  <si>
    <t>Стоимость</t>
  </si>
  <si>
    <t>PETG-NIT-B1</t>
  </si>
  <si>
    <t>PETG-123D-B1</t>
  </si>
  <si>
    <t>Наценка на развитие</t>
  </si>
  <si>
    <t>Наценка на прибыль</t>
  </si>
  <si>
    <t>Дата покупки</t>
  </si>
  <si>
    <t>pegboard-pin_v2_PETG-NIT-W2_0.16mm Optimal low speed_4m46s.gcode</t>
  </si>
  <si>
    <t>Gridfinity_UltraLightBin_PlainEdition_3x5x10_PETG-NIT-W2_0.20mm Standard speed 200_2h21m.gcode</t>
  </si>
  <si>
    <t>Примечание</t>
  </si>
  <si>
    <t>pegboard-pin_v1_PETG-STAR-G1_0.16mm Optimal low speed_5m9s.gcode</t>
  </si>
  <si>
    <t>hook_v1_PETG-STAR-G1_0.16mm Optimal low speed_9m23s.gcode</t>
  </si>
  <si>
    <t>hook_v1_PETG-STAR-G1_2m19s.gcode</t>
  </si>
  <si>
    <t>pressure_advance_test.stl_PETG_5m54s.gcode</t>
  </si>
  <si>
    <t>OrcaCube_PETG-STAR-G1_25m0s.gcode</t>
  </si>
  <si>
    <t>OrcaCube_PETG-STAR-G1_35m39s.gcode</t>
  </si>
  <si>
    <t>OrcaToleranceTest_PETG-STAR-G1_11m37s.gcode</t>
  </si>
  <si>
    <t>OrcaToleranceTest_PETG-STAR-G1_8m41s.gcode</t>
  </si>
  <si>
    <t>retraction_tower_PETG-STAR-G1_3m48s.gcode</t>
  </si>
  <si>
    <t>pressure_advance_test_PETG-STAR-G1_5m46s.gcode</t>
  </si>
  <si>
    <t>flowrate_0_PETG-STAR-G1_23m51s.gcode</t>
  </si>
  <si>
    <t>temperature_tower_PETG-STAR-G1_29m34s.gcode</t>
  </si>
  <si>
    <t>PLA-CR-W1</t>
  </si>
  <si>
    <t>sleeve_12mm_PETG-NIT_W2_16m31s.gcode</t>
  </si>
  <si>
    <t>tube1_PETG-NIT-W2_2h34m.gcode</t>
  </si>
  <si>
    <t>pressure_advance_test.stl_PETG_5m24s.gcode</t>
  </si>
  <si>
    <t>top-and-bottom_PETG_3h27m38s.gcode</t>
  </si>
  <si>
    <t>PocketBook-Era-Halter.stl_PETG_29m23s.gcode</t>
  </si>
  <si>
    <t>mid.stl_PETG_1h23m28s.gcode</t>
  </si>
  <si>
    <t>top_PETG_1h46m.gcode</t>
  </si>
  <si>
    <t>Bottom - 0.4 PETG-PC_PETG_17m48s.gcode</t>
  </si>
  <si>
    <t>Slide - 0.4 PETG-PC_PETG_10m7s.gcode</t>
  </si>
  <si>
    <t>OrcaToleranceTest_PETG_10m37s.gcode</t>
  </si>
  <si>
    <t>k1c-xy-tensioners-upgrade-right-plate_PETG_36m44s.gcode</t>
  </si>
  <si>
    <t>k3d_accuracy_test_v8_PETG-B1_19m0s.gcode</t>
  </si>
  <si>
    <t>YACS2_PETG-B1_25m53s.gcode</t>
  </si>
  <si>
    <t>solarcell-cap_PETG_1h5m.gcode</t>
  </si>
  <si>
    <t>build-plate-holder-PETG-NIT-W1_2h10m.gcode</t>
  </si>
  <si>
    <t>nozzle-cleaner-v2_PETG-NIT-W1_11m59s.gcode</t>
  </si>
  <si>
    <t>creality-k1c-silicone-nozzle-cleaner-v2_PETG-NIT-W1_12m7s.gcode</t>
  </si>
  <si>
    <t>Korper1_PETG_1h58m.gcode</t>
  </si>
  <si>
    <t>tooth-holder_PETG-NIT-W2_8h5m.gcode</t>
  </si>
  <si>
    <t>testplate_PETG_19m24s.gcode</t>
  </si>
  <si>
    <t>Object_1_PETG_1h29m.gcode</t>
  </si>
  <si>
    <t>toothpaste squeezer_PETG_19m38s.gcode</t>
  </si>
  <si>
    <t>obj_1_MiniAirFunnel.stl_PETG_57m35s.gcode</t>
  </si>
  <si>
    <t>Pen Box - 200x90x25_PETG_1h35m.gcode</t>
  </si>
  <si>
    <t>watercan.STL_PETG_3h11m50s.gcode</t>
  </si>
  <si>
    <t>creality-space-pi-pfte-holder.stl_PETG_5m3s.gcode</t>
  </si>
  <si>
    <t>creality-space-pi-pfte-holder_PETG_1m41s.gcode</t>
  </si>
  <si>
    <t>pressure_advance_test_PETG_5m46s.gcode</t>
  </si>
  <si>
    <t>watercan_PETG_2h4m.gcode</t>
  </si>
  <si>
    <t>bike backlight mount_PETG_37m13s.gcode</t>
  </si>
  <si>
    <t>K1C Filament sensor holder_PETG_14m8s.gcode</t>
  </si>
  <si>
    <t>Chip_Bag_Clip_V7_Medium.stl_PETG_1h30m48s.gcode</t>
  </si>
  <si>
    <t>FilamentDustCleanerFilter_6x2_PETG_15m20s.gcode</t>
  </si>
  <si>
    <t>FilamentDustCleanerFilter_6x2.stl_PETG_12m24s.gcode</t>
  </si>
  <si>
    <t>FilamentDustCleanerFilter_6x2_PETG_13m24s.gcode</t>
  </si>
  <si>
    <t>Filamen_PETG_14m.gcode</t>
  </si>
  <si>
    <t>filamen_PETG_16m.gcode</t>
  </si>
  <si>
    <t>filament_dust_filter_parametric_v1_PETG_15m19s.gcode</t>
  </si>
  <si>
    <t>Filament-Filter_Small-A_v2_PETG_8m23s.gcode</t>
  </si>
  <si>
    <t>FilamentDustCleanerFilter_6x2_PETG_17m20s.gcode</t>
  </si>
  <si>
    <t>FilamentDustCleanerFilter_6x2_PETG_56m26s.gcode</t>
  </si>
  <si>
    <t>25cm_PETG_29m46s.gcode</t>
  </si>
  <si>
    <t>Pen Box - 200x60x50_PETG_1h51m.gcode</t>
  </si>
  <si>
    <t>Pen Box - 200x90x75_PETG_3h7m.gcode</t>
  </si>
  <si>
    <t>Pen Box - 200x90x50_PETG_2h15m.gcode</t>
  </si>
  <si>
    <t>Pen Box - 200x60x25_PETG_1h12m.gcode</t>
  </si>
  <si>
    <t>Pen Box - 200x60x25_PETG_1h13m.gcode</t>
  </si>
  <si>
    <t>Pen Box - 200x60x25_PETG_1h17m.gcode</t>
  </si>
  <si>
    <t>pressure_advance_test_PETG_6m7s.gcode</t>
  </si>
  <si>
    <t>Сборка_PETG_1h38m_classic.gcode</t>
  </si>
  <si>
    <t>Pen Box - 200x90x25_PETG_1h36m.gcode</t>
  </si>
  <si>
    <t>mesh-for-boxcase_PETG_3h59m.gcode</t>
  </si>
  <si>
    <t>watercan_PETG_3h14m.gcode</t>
  </si>
  <si>
    <t>Corpo1_PETG_6m45s.gcode</t>
  </si>
  <si>
    <t>k1-cable-chain-anti-sag-riser-back-frikarte3d_PETG_6m57s.gcode</t>
  </si>
  <si>
    <t>bottle holder variant 2_PETG_2h16m.gcode</t>
  </si>
  <si>
    <t>hook_PETG_1h10m.gcode</t>
  </si>
  <si>
    <t>Object_2_PETG_30m44s.gcode</t>
  </si>
  <si>
    <t>Object_2_PETG_30m50s.gcode</t>
  </si>
  <si>
    <t>bottle holder variant 2_PETG_2h3m.gcode</t>
  </si>
  <si>
    <t>Bottom - 0.4 PETG-PC_PETG_47m46s.gcode</t>
  </si>
  <si>
    <t>SpeedTestStructure_PETG_37m13s.gcode</t>
  </si>
  <si>
    <t>pressure_advance_test_PETG_5m9s.gcode</t>
  </si>
  <si>
    <t>Pen Box - 200x90x25_PETG_1h33m.gcode</t>
  </si>
  <si>
    <t>YACS_PETG_30m48s.gcode</t>
  </si>
  <si>
    <t>Object_1_PETG_1h39m.gcode</t>
  </si>
  <si>
    <t>Сборка_PETG_30m11s.gcode</t>
  </si>
  <si>
    <t>Сборка_PETG_1h0m.gcode</t>
  </si>
  <si>
    <t>Object_1_PETG_21m46s.gcode</t>
  </si>
  <si>
    <t>rolling-pin-rings-2-4-6-8mm_PETG_1h26m.gcode</t>
  </si>
  <si>
    <t>Object_1_PETG_12m24s.gcode</t>
  </si>
  <si>
    <t>Object_1_PETG_17m8s.gcode</t>
  </si>
  <si>
    <t>squirell-cookie-cutter_v2_PETG_48m51s.gcode</t>
  </si>
  <si>
    <t>leaf-cookie-cutter_v3_PETG_33m56s.gcode</t>
  </si>
  <si>
    <t>leaf-cookie-cutter_v2_PETG_35m31s.gcode</t>
  </si>
  <si>
    <t>pressure_advance_test_PETG_4m38s.gcode</t>
  </si>
  <si>
    <t>k1c-riser-side-back-remix_PETG_1h24m.gcode</t>
  </si>
  <si>
    <t>K1C Secondary Tool Drawer_PETG_1h50m.gcode</t>
  </si>
  <si>
    <t>pressure_advance_test_PETG_5m10s.gcode</t>
  </si>
  <si>
    <t>snowflake_cookiecutter_PETG_57m27s.gcode</t>
  </si>
  <si>
    <t>Creality_k1_belt_tension_meter_PETG_15m16s.gcode</t>
  </si>
  <si>
    <t>UniversalDualFilamentDragonClip-thick-FullSpikes_PETG_35m54s.gcode</t>
  </si>
  <si>
    <t>VoxelS_PETG_4h0m.gcode</t>
  </si>
  <si>
    <t>Куб_PETG_8m57s.gcode</t>
  </si>
  <si>
    <t>tower_with_seam_PETG_14m22s.gcode</t>
  </si>
  <si>
    <t>Object_1_PETG_2h5m.gcode</t>
  </si>
  <si>
    <t>Object_1_PETG_36m34s.gcode</t>
  </si>
  <si>
    <t>MY k1c riser lid handle remix STL_PETG_1h6m.gcode</t>
  </si>
  <si>
    <t>SpeedTestStructure_PETG_30m30s.gcode</t>
  </si>
  <si>
    <t>k1c lid riser corners remix_PETG_2h39m.gcode</t>
  </si>
  <si>
    <t>k1c lid riser side &amp; back remix_PETG_1h19m.gcode</t>
  </si>
  <si>
    <t>OrcaToleranceTest_PETG_11m3s.gcode</t>
  </si>
  <si>
    <t>flowrate_0_PETG_31m45s.gcode</t>
  </si>
  <si>
    <t>flowrate_0_PETG_29m30s.gcode</t>
  </si>
  <si>
    <t>flowrate_0_PETG_34m20s.gcode</t>
  </si>
  <si>
    <t>pressure_advance_test_PETG_4m23s.gcode</t>
  </si>
  <si>
    <t>temperature_tower_PETG_50m45s.gcode</t>
  </si>
  <si>
    <t>temperature_tower_PETG_1h7m.gcode</t>
  </si>
  <si>
    <t>Creality K1C Hinged Lid Riser Kit (v2)_PETG_1h10m.gcode</t>
  </si>
  <si>
    <t>Creality K1C Hinged Lid Riser Kit (v2)_PETG_1h8m.gcode</t>
  </si>
  <si>
    <t>Creality K1C Hinged Lid Riser Kit (v2)_PETG_1h14m.gcode</t>
  </si>
  <si>
    <t>Creality K1C Hinged Lid Riser Kit (v2)_PETG_1h18m.gcode</t>
  </si>
  <si>
    <t>Creality K1C Hinged Lid Riser Kit (v2)_PETG_1h12m.gcode</t>
  </si>
  <si>
    <t>Creality K1C Hinged Lid Riser Kit (v2)_PETG_1h43m.gcode</t>
  </si>
  <si>
    <t>Creality K1C Hinged Lid Riser Kit (v2)_PETG_1h47m.gcode</t>
  </si>
  <si>
    <t>k1-max-ptfe-tube-holder-2_PETG_35m47s.gcode</t>
  </si>
  <si>
    <t>3DBenchy_PETG_28m26s.gcode</t>
  </si>
  <si>
    <t>corpri-asse-z_PETG_6m21s.gcode</t>
  </si>
  <si>
    <t>k1_extruder_tube_guide_v2_PETG_17m52s.gcode</t>
  </si>
  <si>
    <t>OrcaCube_PETG_26m5s.gcode</t>
  </si>
  <si>
    <t>Object_1_PETG_11m53s.gcode</t>
  </si>
  <si>
    <t>Object_1_PETG_12m22s.gcode</t>
  </si>
  <si>
    <t>leaf-cookie-cutter_PETG_18m43s.gcode</t>
  </si>
  <si>
    <t>belka_2024-12-07_PETG_1h47m.gcode</t>
  </si>
  <si>
    <t>belka_2024-12-07_PETG_1h46m.gcode</t>
  </si>
  <si>
    <t>Temper_50,5mm_PETG_24m41s.gcode</t>
  </si>
  <si>
    <t>temper_PETG_58m36s.gcode</t>
  </si>
  <si>
    <t>r1 - ramecek pro HDD SSD_1_PETG_55m21s.gcode</t>
  </si>
  <si>
    <t>triple_hdd_holder_tpu_PETG_1h5m.gcode</t>
  </si>
  <si>
    <t>AA_8_PETG_1h11m.gcode</t>
  </si>
  <si>
    <t>ksr_fdmtest_v4_PETG_1h34m.gcode</t>
  </si>
  <si>
    <t>SpeedTestStructure_PETG_35m47s.gcode</t>
  </si>
  <si>
    <t>VFA_PETG_1h1m.gcode</t>
  </si>
  <si>
    <t>retraction_tower_PETG_4m12s.gcode</t>
  </si>
  <si>
    <t>flowrate_0_PETG_37m2s.gcode</t>
  </si>
  <si>
    <t>pressure_advance_test_PETG_5m1s.gcode</t>
  </si>
  <si>
    <t>OrcaToleranceTest_PETG_12m17s.gcode</t>
  </si>
  <si>
    <t>VFA_PETG_47m16s.gcode</t>
  </si>
  <si>
    <t>flowrate_0_PETG_22m21s.gcode</t>
  </si>
  <si>
    <t>flowrate_0_PETG_24m47s.gcode</t>
  </si>
  <si>
    <t>flowrate_0_PETG_22m42s.gcode</t>
  </si>
  <si>
    <t>flowrate_0_PETG_22m17s.gcode</t>
  </si>
  <si>
    <t>temperature_tower_PETG_1h15m.gcode</t>
  </si>
  <si>
    <t>K3D_RCT_H250-B70_1-0.2mm_30-30mms.gcode</t>
  </si>
  <si>
    <t>K3D_LA_H250-B70_0-0.2_d0.022.gcode</t>
  </si>
  <si>
    <t>stand_PETG_1h48m.gcode</t>
  </si>
  <si>
    <t>stand_PETG_1h38m.gcode</t>
  </si>
  <si>
    <t>Object_1_PETG_1h24m.gcode</t>
  </si>
  <si>
    <t>add_spindle_PETG_49m36s.gcode</t>
  </si>
  <si>
    <t>spindle_PETG_3h15m.gcode</t>
  </si>
  <si>
    <t>All.stl_PETG_2h38m.gcode</t>
  </si>
  <si>
    <t>Filamen_PETG_9m.gcode</t>
  </si>
  <si>
    <t>Filament Filter_PETG_10m13s.gcode</t>
  </si>
  <si>
    <t>K1C_Tool_V3_PLA_3h12m.gcode</t>
  </si>
  <si>
    <t>K1C_Tool_V3_PLA_4h47m.gcode</t>
  </si>
  <si>
    <t>топпер2_52mm_PLA_2h9m.gcode</t>
  </si>
  <si>
    <t>Object__PLA_40m.gcode</t>
  </si>
  <si>
    <t>Простав_PLA_8m.gcode</t>
  </si>
  <si>
    <t>USB+Dus_PLA_6m.gcode</t>
  </si>
  <si>
    <t>Стомость оператора</t>
  </si>
  <si>
    <t>Стоимость постобработки</t>
  </si>
  <si>
    <t>Стоимость материала для печати (по весу)</t>
  </si>
  <si>
    <t>Амортизация</t>
  </si>
  <si>
    <t>Доп. 1</t>
  </si>
  <si>
    <t>Доп. 2</t>
  </si>
  <si>
    <t>Доп. 3</t>
  </si>
  <si>
    <t>Электроэнергия + пластик + амортизация</t>
  </si>
  <si>
    <t>Стоимость 3d моделей (дизайн + готовые модели)</t>
  </si>
  <si>
    <t>Итоговая стоимость с наценкой + допы</t>
  </si>
  <si>
    <t>1x2PegMount_PETG-NIT-W2_0.20mm Standard_1h39m.gcode</t>
  </si>
  <si>
    <t>filename</t>
  </si>
  <si>
    <t>type</t>
  </si>
  <si>
    <t>status</t>
  </si>
  <si>
    <t>start_time</t>
  </si>
  <si>
    <t>end_time</t>
  </si>
  <si>
    <t>print_duration</t>
  </si>
  <si>
    <t>total_duration</t>
  </si>
  <si>
    <t>filament_used</t>
  </si>
  <si>
    <t>job</t>
  </si>
  <si>
    <t>completed</t>
  </si>
  <si>
    <t>pegboard-pin_v4_PETG-NIT-W2_0.20mm Standard_6m51s.gcode</t>
  </si>
  <si>
    <t>pegboard-pin_v3_PETG-NIT-W2_0.16mm Optimal low speed_6m15s.gcode</t>
  </si>
  <si>
    <t>cancelled</t>
  </si>
  <si>
    <t>boxes/Pen Box - 200x60x25_PETG_1h12m.gcode</t>
  </si>
  <si>
    <t>error</t>
  </si>
  <si>
    <t>klippy_shutdown</t>
  </si>
  <si>
    <t>Общее время</t>
  </si>
  <si>
    <t>Длина пластика</t>
  </si>
  <si>
    <t>Вес пластика</t>
  </si>
  <si>
    <t>Плотность</t>
  </si>
  <si>
    <t>Себмстоимость</t>
  </si>
  <si>
    <t>Цена</t>
  </si>
  <si>
    <t>gridfinity-standalone-base-4x4_PETG_StarPlast-G1_0.20mm Standard_1h35m.gcode</t>
  </si>
  <si>
    <t>Sy's Pegboard gridfinity 1x3 shorter_PETG_NIT-W2_0.20mm Standard_1h47m.gcode</t>
  </si>
  <si>
    <t>peglock_board_attachment_PETG_NIT-W2_0.20mm Standard_10m20s.gcode</t>
  </si>
  <si>
    <t>37mm Bottle Holder_PETG-NIT-W2_0.20mm Standard_43m59s.gcode</t>
  </si>
  <si>
    <t>glue-base_2x2base_PETG-NIT-W2_0.20mm Standard_1h9m.gcode</t>
  </si>
  <si>
    <t>2x2x3u-sticky-note-holder_PETG-NIT-W2_0.20mm Standard_1h58m.gcode</t>
  </si>
  <si>
    <t>PETG-StarPlast-G1</t>
  </si>
  <si>
    <t>PETG-StarPlast-B1</t>
  </si>
  <si>
    <t>Начало печати</t>
  </si>
  <si>
    <t>Окончание печати</t>
  </si>
  <si>
    <t>Коробка гридфинити 3x5x10 для Ильи Журавлёва</t>
  </si>
  <si>
    <t>База гридфинити настольная 4x4</t>
  </si>
  <si>
    <t>Серые поля заполняем индивидуально, зеленые расчитываются автоматически. Желтые поля выбираем из списка.</t>
  </si>
  <si>
    <t>холдер для батареек</t>
  </si>
  <si>
    <t>темпер</t>
  </si>
  <si>
    <t>бенчи</t>
  </si>
  <si>
    <t>проставка для сковороды</t>
  </si>
  <si>
    <t>топпер ЦИР</t>
  </si>
  <si>
    <t>холдер для инструментов под принтер большой слева</t>
  </si>
  <si>
    <t>тест температуры</t>
  </si>
  <si>
    <t>тест точности</t>
  </si>
  <si>
    <t>холдер для hdd</t>
  </si>
  <si>
    <t>проставка для hdd</t>
  </si>
  <si>
    <t>райзер</t>
  </si>
  <si>
    <t>драгонклип</t>
  </si>
  <si>
    <t>измеритель ремней</t>
  </si>
  <si>
    <t>холдер для инструмента од принтер справа</t>
  </si>
  <si>
    <t>тест диагоналей</t>
  </si>
  <si>
    <t>коробка под канцелярию</t>
  </si>
  <si>
    <t>крюк</t>
  </si>
  <si>
    <t>держатель бутылки</t>
  </si>
  <si>
    <t>наконечник для полива 1</t>
  </si>
  <si>
    <t>клипсы</t>
  </si>
  <si>
    <t>держатель сенсора пластиковой нити</t>
  </si>
  <si>
    <t>наконечник для полива 2</t>
  </si>
  <si>
    <t>наконечник для полива 3</t>
  </si>
  <si>
    <t>воронка</t>
  </si>
  <si>
    <t>выдавливатель для тюбика пасты</t>
  </si>
  <si>
    <t>тест подставки под ирригатор</t>
  </si>
  <si>
    <t>подставка под ирригатор</t>
  </si>
  <si>
    <t>мыльница</t>
  </si>
  <si>
    <t>держатель силиконовой щётки в принтер</t>
  </si>
  <si>
    <t>холдер пластин на принтер</t>
  </si>
  <si>
    <t>козырёк на фотодатчик</t>
  </si>
  <si>
    <t>держатель для натяжителей в принтер</t>
  </si>
  <si>
    <t>тест точности в орке</t>
  </si>
  <si>
    <t>держатель для покетбука</t>
  </si>
  <si>
    <t>держатель для клея на гридфинити базу</t>
  </si>
  <si>
    <t>держатель дихлорэтана на гридфинити базу</t>
  </si>
  <si>
    <t>держатель для стикнотов на гридфинити базу</t>
  </si>
  <si>
    <t>база гридфинити на доску</t>
  </si>
  <si>
    <t>пеглок</t>
  </si>
  <si>
    <t>пин та пегборду</t>
  </si>
  <si>
    <t>пин на пегборду</t>
  </si>
  <si>
    <t>Себестоимость</t>
  </si>
  <si>
    <t>gridfinity_ultralightbin_plainedition_1x2x5_PETG_StarPlast-G1_0.20mm Standard_24m51s.gcode</t>
  </si>
  <si>
    <t>peglock_boxes-1x1_100_PETG_StarPlast-G1_0.20mm Standard_2h6m.gcode</t>
  </si>
  <si>
    <t>pegboard-lock-vertical_v2_PETG_0.20mm Standard_2m47s.gcode</t>
  </si>
  <si>
    <t>1x2PegMount_PETG_StarPlast-G1_0.20mm Standart low speed_1h31m.gcode</t>
  </si>
  <si>
    <t>три бокса на пегборду гридфинити</t>
  </si>
  <si>
    <t>вертикальный замок на пегборд</t>
  </si>
  <si>
    <t>бокс 2x1 гридфинити</t>
  </si>
  <si>
    <t>skadis-board-200x200_PETG_NIT_0.20mm Standart low speed_2h30m.gcode</t>
  </si>
  <si>
    <t>peglock_box_050x100deep2_PETG_StarPlast-G1_0.20mm Standart low speed_1h13m.gcode</t>
  </si>
  <si>
    <t>peglock_box_100_PETG_StarPlast-G1_0.20mm Standart low speed_1h25m.gcode</t>
  </si>
  <si>
    <t>flow-calibration-for-flexis-v4-no-inst-by-ck3d_PETG_StarPlast-G1_0.20mm Standart low speed_13m34s.gcode</t>
  </si>
  <si>
    <t>PA_PETG_StarPlast-G1_0.16mm Optimal_7m44s.gcode</t>
  </si>
  <si>
    <t>gridfinity-adapter-2x2-1x1-2x1_PETG_StarPlast-G1_0.16mm Optimal_1h37m.gcode</t>
  </si>
  <si>
    <t>gridfinity_ultralightbin_2x2x1_build-plate-cleaner_PETG_StarPlast-G1_0.16mm Optimal low speed_3h38m.gcode</t>
  </si>
  <si>
    <t>gridfinity_ultralightbin_plainedition_1x4x5_PETG_StarPlast-G1_0.16mm Optimal low speed_55m38s.gcode</t>
  </si>
  <si>
    <t>strat_roots_pc1_3_PETG_StarPlast-G1_0.16mm Optimal low speed_35m24s.gcode</t>
  </si>
  <si>
    <t>OrcaToleranceTest_PETG_StarPlast-G1_0.16mm Optimal low speed_10m58s.gcode</t>
  </si>
  <si>
    <t>gridfinity_ultralightbin_plainedition_1x2x5.stl_PETG_34m12s.gcode</t>
  </si>
  <si>
    <t>Скадис 200x200</t>
  </si>
  <si>
    <t>postmark_60x70_PETG_STARPLAST_0.16mm Optimal low speed_27m35s.gcode</t>
  </si>
  <si>
    <t>bird_2_PETG_STARPLAST_0.16mm Optimal low speed_50m29s.gcode</t>
  </si>
  <si>
    <t>bird_3_PETG_STARPLAST_0.16mm Optimal low speed_29m21s.gcode</t>
  </si>
  <si>
    <t>bird_1_PETG_STARPLAST_0.16mm Optimal low speed_28m50s.gcode</t>
  </si>
  <si>
    <t>Chip_Bag_Clip_V7_Medium_PETG-StarPlast-G1_0.16mm Optimal low speed_1h11m.gcode</t>
  </si>
  <si>
    <t>20-cm-side-a_PETG_STARPLAST-G1_0.16mm Optimal low speed_28m23s.gcode</t>
  </si>
  <si>
    <t>skadis-board-mount-tool_PETG_STARPLAST-G1_0.16mm Optimal low speed_27m5s.gcode</t>
  </si>
  <si>
    <t>skadis-board-mount-tool_PETG_STARPLAST-G1_0.20mm Standart low speed_22m8s.gcode</t>
  </si>
  <si>
    <t>skadis-board-160x160_PETG_NIT-W2_0.20mm Standart low speed_1h52m.gcode</t>
  </si>
  <si>
    <t>skadis-board-160x160_PETG_NIT-W1_0.16mm Optimal_2h33m.gcode</t>
  </si>
  <si>
    <t>PA-shablon_PETG_NIT-W1_0.16mm Optimal_7m39s.gcode</t>
  </si>
  <si>
    <t>skadis-board-160x160_PETG_NIT-W1_0.16mm Optimal_2h30m.gcode</t>
  </si>
  <si>
    <t>3dpen-holder-peglock_PETG_NIT-W1_0.16mm Optimal_48m18s.gcode</t>
  </si>
  <si>
    <t>gridfinity_ultralightbin_plainedition_1x3x2_PETG_NIT-W1_0.16mm Optimal_28m15s.gcode</t>
  </si>
  <si>
    <t>flow-calibration-for-flexis-v4-no-inst-by-ck3d_PETG_NIT-W1_0.16mm Optimal_15m23s.gcode</t>
  </si>
  <si>
    <t>Skadis_Universal_Hook_PETG_NIT-W1_0.16mm Optimal_7m18s.gcode</t>
  </si>
  <si>
    <t>flow-calibration-for-flexis-v4-no-inst-by-ck3d_PETG_NIT-W1_0.16mm Optimal_15m24s.gcode</t>
  </si>
  <si>
    <t>Skadis-gridfinity-with-hooks_PETG_NIT-W1_0.16mm Optimal_59m20s.gcode</t>
  </si>
  <si>
    <t>r75_25mm_headphone-holder_PETG_NIT-W1_0.16mm Optimal_28m18s.gcode</t>
  </si>
  <si>
    <t>headphone_hook_skadis_PETG_NIT-W1_0.16mm Optimal_58m30s.gcode</t>
  </si>
  <si>
    <t>Форма «марка»</t>
  </si>
  <si>
    <t>Форма «Птички-2» 2шт</t>
  </si>
  <si>
    <t>Форма «Птички-3»</t>
  </si>
  <si>
    <t>Форма «Птички-1»</t>
  </si>
  <si>
    <t>Большие клипсы на пакет угля 2 шт</t>
  </si>
  <si>
    <t>Фастекс</t>
  </si>
  <si>
    <t>PETG-NIT-W3</t>
  </si>
  <si>
    <t>pressure_advance_test_PETG_NIT-W3_0.16mm Optimal 230_4m31s.gcode</t>
  </si>
  <si>
    <t>ruler_PETG_NIT-W3_0.16mm Optimal 230_1h37m.gcode</t>
  </si>
  <si>
    <t>gridfinity_ultralightbin_plainedition_1x3x5_PETG_STARPLAST_0.16mm Optimal 230_40m9s.gcode</t>
  </si>
  <si>
    <t>Planter _PETG_STARPLAST_0.16mm Optimal 220_1h34m.gcode</t>
  </si>
  <si>
    <t>gridfinity_ultralightbin_plainedition_1x2x3_PETG_STARPLAST_0.16mm Optimal low speed_24m42s.gcode</t>
  </si>
  <si>
    <t>gridfinity_ultralightbin_plainedition_1x2x3_PETG_STARPLAST_0.20mm Standard 150_16m2s.gcode</t>
  </si>
  <si>
    <t>gridfinity_ultralightbin_plainedition_1x2x3_PETG_STARPLAST_0.20mm Standard 150_19m7s.gcode</t>
  </si>
  <si>
    <t>Planter _PETG_STARPLAST_0.20mm Standard 150_1h46m.gcode</t>
  </si>
  <si>
    <t>cable_clips_PETG_STARPLAST_0.16mm Optimal_1h7m.gcode</t>
  </si>
  <si>
    <t>cable_clip_14mm_PETG_STARPLAST_0.16mm Optimal_6m39s.gcode</t>
  </si>
  <si>
    <t>SpeedTestStructure_PETG_STARPLAST_0.20mm Standard 150_14m7s.gcode</t>
  </si>
  <si>
    <t>VFA_PETG_STARPLAST_0.20mm Standard_53m24s.gcode</t>
  </si>
  <si>
    <t>OrcaToleranceTest_PETG_STARPLAST_0.16mm Optimal_10m32s.gcode</t>
  </si>
  <si>
    <t>pressure_advance_test_PETG_STARPLAST_0.16mm Optimal_3m21s.gcode</t>
  </si>
  <si>
    <t>pressure_advance_test_PETG_STARPLAST_0.16mm Optimal_6m37s.gcode</t>
  </si>
  <si>
    <t>28mm-Bolt-for-Tilt-Adjustment_PETG_STARPLAST_0.16mm Optimal_3h34m.gcode</t>
  </si>
  <si>
    <t>Watering Can_PETG_STARPLAST_0.20mm Standard_3h51m.gcode</t>
  </si>
  <si>
    <t>gridfinity_ultralightbin_plainedition_2x2x5_PETG_STARPLAST_0.20mm Standard_47m44s.gcode</t>
  </si>
  <si>
    <t>gridfinity_ultralightbin_plainedition_2x4x5_PETG_STARPLAST_0.20mm Standard_1h20m.gcode</t>
  </si>
  <si>
    <t>gridfinity-standalone-base-4x4_PETG_STARPLAST_0.20mm Standart low speed_1h55m.gcode</t>
  </si>
  <si>
    <t>Planter _PETG_STARPLAST_0.20mm Standard_1h41m.gcode</t>
  </si>
  <si>
    <t>r100_30mm_headphone-holder_PETG_STARPLAST_0.16mm Optimal low speed_38m26s.gcode</t>
  </si>
  <si>
    <t>skadis-board-200x200_PETG_STARPLAST_0.16mm Optimal low speed_3h42m.gcode</t>
  </si>
  <si>
    <t>горшочек</t>
  </si>
  <si>
    <t>deburring_tool_gridfinity_PETG_NIT-W3_0.20mm Standard 150_1h25m.gcode</t>
  </si>
  <si>
    <t>Polka-2_PETG_NIT-W3_0.20mm Standard 150_2h43m.gcode</t>
  </si>
  <si>
    <t>Polka-1_B_PETG_NIT-W3_0.20mm Standard 150_1h56m.gcode</t>
  </si>
  <si>
    <t>подставка под полку 1</t>
  </si>
  <si>
    <t>подставка под полку 2</t>
  </si>
  <si>
    <t>часть полки 1</t>
  </si>
  <si>
    <t>часть полки 2</t>
  </si>
  <si>
    <t>гридфинити коробка под шабер</t>
  </si>
  <si>
    <t>тест</t>
  </si>
  <si>
    <t>гридфинити 1x3x5 коробка</t>
  </si>
  <si>
    <t>PETG-NIT-B2</t>
  </si>
  <si>
    <t>14-khz-whistle_PETG_STARPLAST_0.16mm Optimal 150_21m4s.gcode</t>
  </si>
  <si>
    <t>pressure_advance_test_PETG_STARPLAST_0.16mm Optimal 150_6m56s.gcode</t>
  </si>
  <si>
    <t>38.4mm1cyl_valve_PETG_STARPLAST_0.16mm Optimal 150_48m19s.gcode</t>
  </si>
  <si>
    <t>Base_PETG_STARPLAST_0.16mm Optimal 150_2h5m.gcode</t>
  </si>
  <si>
    <t>Base_PETG_STARPLAST_0.16mm Optimal 150_2h3m.gcode</t>
  </si>
  <si>
    <t>Cover_PETG_STARPLAST_0.16mm Optimal 150_1h6m.gcode</t>
  </si>
  <si>
    <t>klippy_disconnect</t>
  </si>
  <si>
    <t>38.4mm1cyl_valve_PETG_STARPLAST_0.16mm Optimal 150_15m18s.gcode</t>
  </si>
  <si>
    <t>OrcaCube_PETG_StarPlast-B1_0.20mm Standard 120_39m19s.gcode</t>
  </si>
  <si>
    <t>K1_best_5015_blower_remix_2025_PETG_STARPLAST_0.16mm Optimal 150_2h14m.gcode</t>
  </si>
  <si>
    <t>Base cover_PETG_STARPLAST_0.16mm Optimal 150_38m58s.gcode</t>
  </si>
  <si>
    <t>peglock_board_attachment_PETG_STARPLAST_0.20mm Standard 150_14m2s.gcode</t>
  </si>
  <si>
    <t>temperature_tower_PETG_STARPLAST_0.20mm Standard 150_45m24s.gcode</t>
  </si>
  <si>
    <t>Base_PETG_STARPLAST_0.20mm Standard 150_1h33m.gcode</t>
  </si>
  <si>
    <t>14-khz-whistle_PETG_STARPLAST_0.16mm Optimal 150_18m25s.gcode</t>
  </si>
  <si>
    <t>gridfinity-standalone-base-4x4_PETG_STARPLAST_0.20mm Standard 150_1h47m.gcode</t>
  </si>
  <si>
    <t>Pegboard gridfinity 1x3 shorter_PETG_STARPLAST_0.16mm Optimal 230_1h22m.gcode</t>
  </si>
  <si>
    <t>tray_1x3_PETG_STARPLAST_0.16mm Optimal 230_2h51m.gcode</t>
  </si>
  <si>
    <t>k1-5015-franky5_PETG_STARPLAST_0.16mm Optimal 150_1h42m.gcode</t>
  </si>
  <si>
    <t>Lego-blocks_PETG_STARPLAST_0.20mm Standard 150_40m42s.gcode</t>
  </si>
  <si>
    <t>peglock bottle holder_PETG_NIT-W3_0.16mm Optimal 230_1h1m.gcode</t>
  </si>
  <si>
    <t>remix-gridfinity-6u-holder-for-afa-hex-handle-deburring-tool_PETG_NIT-W3_0.20mm Standard 150_1h2m.gcode</t>
  </si>
  <si>
    <t>свисток на 14 кГц</t>
  </si>
  <si>
    <t>лего перегородки 3 шт</t>
  </si>
  <si>
    <t>база на углесос удачный</t>
  </si>
  <si>
    <t>база на углесос косячный</t>
  </si>
  <si>
    <t>крышка на углесос</t>
  </si>
  <si>
    <t>лего перегородка 1 шт</t>
  </si>
  <si>
    <t>тест орка кубик</t>
  </si>
  <si>
    <t>держатель дуйки 5015 ремикс 2025</t>
  </si>
  <si>
    <t>пеглок 2 шт</t>
  </si>
  <si>
    <t>свисток на 14 кГц косячный</t>
  </si>
  <si>
    <t>база гридфинити 4×4 настольная</t>
  </si>
  <si>
    <t>гридфинити держатель на пегборду 1×3</t>
  </si>
  <si>
    <t>гридфинити 1×3 5u</t>
  </si>
  <si>
    <t>держатель дуйки 5015 майка</t>
  </si>
  <si>
    <t>лего блоки</t>
  </si>
  <si>
    <t>держатель бутылки на пегбоард с пеглоком</t>
  </si>
  <si>
    <t>гридфинити</t>
  </si>
  <si>
    <t>гридфинити для шабера</t>
  </si>
  <si>
    <t>крышка на базу углесоса</t>
  </si>
  <si>
    <t>Плотность по умолчанию 1,27</t>
  </si>
  <si>
    <t>Плотность вариативная 1,24</t>
  </si>
  <si>
    <t>bear-cookie-cutter_PLA_Creality_0.12mm Fine 200-300_23m44s.gcode</t>
  </si>
  <si>
    <t>bear-cookie-cutter_PLA_Creality_0.12mm Fine 200-300_7m57s.gcode</t>
  </si>
  <si>
    <t>bottom_mold_PLA_Creality_0.12mm Fine 200-300_4h20m.gcode</t>
  </si>
  <si>
    <t>template_PLA_Creality_0.12mm Fine 200-300_1h18m.gcode</t>
  </si>
  <si>
    <t>держатель для термометра_PLA_Creality_0.16mm Optimal 230_1h3m.gcode</t>
  </si>
  <si>
    <t>Body1_PLA_Creality_0.16mm Optimal 230_3h31m.gcode</t>
  </si>
  <si>
    <t>pot-lid-holder-for-ikea-25-cm-round-pot-lid_PLA_Creality_0.20mm Standard 150_1h2m.gcode</t>
  </si>
  <si>
    <t>pressure_advance_test_PLA_Creality_0.20mm Standard 150_5m19s.gcode</t>
  </si>
  <si>
    <t>Tamper_PETG_NIT-B3_0.20mm Standard 150_1h6m.gcode</t>
  </si>
  <si>
    <t>lid_PETG_NIT-B3_0.20mm Standard 120_2h26m.gcode</t>
  </si>
  <si>
    <t>AxeCover_v2_PETG_NIT-B3_0.20mm Standard 120_35m49s.gcode</t>
  </si>
  <si>
    <t>AxeCover_v2_PETG_NIT-B3_0.20mm Standard 120_33m40s.gcode</t>
  </si>
  <si>
    <t>battery-cap_PETG_NIT-B3_0.12mm Fine_8m37s.gcode</t>
  </si>
  <si>
    <t>battery-cap_PETG_NIT-B3_0.12mm Fine_9m52s.gcode</t>
  </si>
  <si>
    <t>battery-cap_PETG_NIT-B3_0.12mm Fine_10m13s.gcode</t>
  </si>
  <si>
    <t>100mm(4in) Clamp V2_PETG_NIT-B3_0.20mm Standard 150_38m20s.gcode</t>
  </si>
  <si>
    <t>toothbrush_travel_case_improved_1.0_PETG_NIT-B3_0.20mm Standard 150_24m20s.gcode</t>
  </si>
  <si>
    <t>pipe-holder_100mm_PETG_NIT-B3_0.20mm Standard 150_1h28m.gcode</t>
  </si>
  <si>
    <t>Tent_Peg_Flat_PETG_NIT-B3_0.20mm Standard 150_1h56m.gcode</t>
  </si>
  <si>
    <t>toothbrush_travel_case_improved_1.0_PETG_NIT-B3_0.20mm Standard 150_19m6s.gcode</t>
  </si>
  <si>
    <t>ref-can_PETG_NIT-B3_0.16mm Optimal 230_1h4m.gcode</t>
  </si>
  <si>
    <t>id card holder_PETG_NIT-B3_0.16mm Optimal 230_13m44s.gcode</t>
  </si>
  <si>
    <t>id card holder_PETG_NIT-W3_0.20mm Standard 150_11m56s.gcode</t>
  </si>
  <si>
    <t>doorhook_d25mm_PETG_NIT-W3_0.20mm Standard 150_1h13m.gcode</t>
  </si>
  <si>
    <t>dish_170mm_20h_PETG_NIT-W3_0.20mm Standard 150_1h45m.gcode</t>
  </si>
  <si>
    <t>thread-spooler_02_PETG_NIT-W3_0.20mm Standard 150_6h59m.gcode</t>
  </si>
  <si>
    <t>thread-spooler_02_PETG_NIT-W3_0.20mm Standard 150_6h58m.gcode</t>
  </si>
  <si>
    <t>Tamper_PETG_NIT-W3_0.20mm Standard 150_1h9m.gcode</t>
  </si>
  <si>
    <t>thread-spooler_02_PETG_NIT-W3_0.20mm Standard 150_20m23s.gcode</t>
  </si>
  <si>
    <t>thread-spooler_01_PETG_NIT-W3_0.20mm Standard 150_28m56s.gcode</t>
  </si>
  <si>
    <t>holder_v3_PETG_NIT-W3_0.20mm Standard 150_4h31m.gcode</t>
  </si>
  <si>
    <t>35-inch-to-25-inch-hdd-adapter_PETG_NIT-B3_0.20mm Standard 150_44m57s.gcode</t>
  </si>
  <si>
    <t>r1-ramecek-pro-hdd-ssd_1_PETG_NIT-B3_0.20mm Standard 150_1h8m.gcode</t>
  </si>
  <si>
    <t>hdd-caddy-leg-print-4_PETG_NIT-B3_0.20mm Standard 150_2h3m.gcode</t>
  </si>
  <si>
    <t>hdd-caddy-baseplate_PETG_NIT-B3_0.20mm Standard 150_55m22s.gcode</t>
  </si>
  <si>
    <t>cableclip-25-35mm_PETG_NIT-W3_0.20mm Standard 150_2h47m.gcode</t>
  </si>
  <si>
    <t>gridfinity_ultralightbin_plainedition_2x4x5-1x4x5_PETG_NIT-W3_0.20mm Standard 150_2h19m.gcode</t>
  </si>
  <si>
    <t>cableclip-35-25-20mm_PETG_NIT-W3_0.16mm Optimal 230_59m25s.gcode</t>
  </si>
  <si>
    <t>cableclip-25mm_PETG_NIT-W3_0.16mm Optimal 230_21m18s.gcode</t>
  </si>
  <si>
    <t>whistle_PETG_NIT-W3_0.16mm Optimal 230_3m44s.gcode</t>
  </si>
  <si>
    <t>creality-plates2_PETG_NIT-W3_0.20mm Standard 150_58m6s.gcode</t>
  </si>
  <si>
    <t>creality-plates2_PETG_NIT-W3_0.20mm Standard 150_14m45s.gcode</t>
  </si>
  <si>
    <t>window_fixer_v2_PETG_NIT-B3_0.20mm Standard 150_21m28s.gcode</t>
  </si>
  <si>
    <t>flowrate_0_PETG_NIT-B3_0.20mm Standard 150_27m50s.gcode</t>
  </si>
  <si>
    <t>zhenya-stamp-3+handle_PETG_NIT-B3_0.12mm Fine_20m44s.gcode</t>
  </si>
  <si>
    <t>zhenya-stamp-3_PETG_NIT-B3_0.12mm Fine_4m50s.gcode</t>
  </si>
  <si>
    <t>pressure_advance_test_PETG_NIT-B3_0.12mm Fine_4m15s.gcode</t>
  </si>
  <si>
    <t>zhenya-stamp-1-2_PETG_NIT-B3_0.12mm Fine_33m53s.gcode</t>
  </si>
  <si>
    <t>cylinder_PETG_NIT-W3_0.12mm Fine_1m53s.gcode</t>
  </si>
  <si>
    <t>dish_170mm_PETG_STARPLAST-B1_0.16mm Optimal 150_4h0m.gcode</t>
  </si>
  <si>
    <t>Cartridge_PETG_STARPLAST_0.16mm Optimal 150_5h10m.gcode</t>
  </si>
  <si>
    <t>Duct_PETG_STARPLAST_0.16mm Optimal 150_2h50m.gcode</t>
  </si>
  <si>
    <t>PLA-CR-W2</t>
  </si>
  <si>
    <t>PETG-NIT-W4</t>
  </si>
  <si>
    <t>PETG-NIT-B3</t>
  </si>
  <si>
    <t>PETG-NIT-BLUE1</t>
  </si>
  <si>
    <t>PETG-NIT-B4</t>
  </si>
  <si>
    <t>seed-planter_1x3_PETG_NIT-W4_0.20mm Standard @Creality K1C my_2h4m.gcode</t>
  </si>
  <si>
    <t>крепление крючка_PETG_NIT-W4_0.12mm Fine_5m26s.gcode</t>
  </si>
  <si>
    <t>self-watering-pot-pot-100-x-100-x-100-mm_PETG_NIT-B4_0.20mm Standard 100 quality_3h8m.gcode</t>
  </si>
  <si>
    <t>self-watering-pot-base-100-x-100-mm_PETG_NIT-B4_0.20mm Standard 150_1h34m.gcode</t>
  </si>
  <si>
    <t>Bottom - 0.4 PETG-PC_PETG_NIT-B3_0.20mm Standard 150_31m51s.gcode</t>
  </si>
  <si>
    <t>adapter_PETG_NIT-B3_0.20mm Standard 120_19m48s.gcode</t>
  </si>
  <si>
    <t>stone_holder_wusthof_PETG_NIT-B3_0.20mm Standard 120_53m10s.gcode</t>
  </si>
  <si>
    <t>stone_holder_wusthof_NIT-PETG-B3_42m56s.gcode</t>
  </si>
  <si>
    <t>knife-sharpener_NIT-PETG-B3_3h54m.gcode</t>
  </si>
  <si>
    <t>circle_75_PETG_35m28s.gcode</t>
  </si>
  <si>
    <t>gridfinity-pult_PETG_NIT-B3_0.20mm Standard 120_38m39s.gcode</t>
  </si>
  <si>
    <t>gridfinity-2x1-usb-c-microsd-v7_PETG_NIT-B3_0.20mm Standard 120_1h5m.gcode</t>
  </si>
  <si>
    <t>circle_40_PETG_NIT-B3_0.20mm Standard 120_19m58s.gcode</t>
  </si>
  <si>
    <t>stand_vader4pro_v3_PETG_NIT-W4_0.20mm Standard 120_2h9m.gcode</t>
  </si>
  <si>
    <t>hrs_PETG_NIT-W4_0.20mm Standard 150_58m22s.gcode</t>
  </si>
  <si>
    <t>horse_02_PETG_NIT-W4_0.20mm Standard 150_2h36m.gcode</t>
  </si>
  <si>
    <t>support-left_2_PETG_NIT-W4_0.20mm Standard 150_31m7s.gcode</t>
  </si>
  <si>
    <t>support-left_PETG_NIT-W4_0.20mm Standard 120_31m30s.gcode</t>
  </si>
  <si>
    <t>star6_PETG_NIT-W4_0.20mm Standard 150_33m45s.gcode</t>
  </si>
  <si>
    <t>1-SOLID-2_PETG_NIT-W4_0.20mm Standard 150_41m36s.gcode</t>
  </si>
  <si>
    <t>box_130x170_PETG_NIT-W4_0.20mm Standard 150_1h16m.gcode</t>
  </si>
  <si>
    <t>49-bits-holder-gridfinity-2x2_PETG_NIT-W4_0.20mm Standard 150_4h17m.gcode</t>
  </si>
  <si>
    <t>jmaw-speed-frame_3x4_PETG_NIT-W4_0.20mm Standard 150_27m28s.gcode</t>
  </si>
  <si>
    <t>jmaw-speed-frame_3x4_PETG_NIT-W4_0.20mm Standard 150_27m40s.gcode</t>
  </si>
  <si>
    <t>cap5_PETG_NIT-W4_0.20mm Standard 150_2h20m.gcode</t>
  </si>
  <si>
    <t>cap-bottle5_PETG_NIT-W4_0.20mm Standard 150_2h33m.gcode</t>
  </si>
  <si>
    <t>bottle3_PLA_Creality_0.20mm Standard 150_4h37m.gcode</t>
  </si>
  <si>
    <t>stand_PLA_Creality_0.20mm Standard 150_1h19m.gcode</t>
  </si>
  <si>
    <t>stackable-tea-bag-holder-65_PLA_Creality_0.20mm Standard 150_3h14m.gcode</t>
  </si>
  <si>
    <t>bag_clip_PLA_Creality_0.20mm Standard 150_45m9s.gcode</t>
  </si>
  <si>
    <t>Проставка под розетку 80мм_PLA_Creality_0.20mm Standard 150_21m17s.gcode</t>
  </si>
  <si>
    <t>downplate_199x89_PLA_Creality_0.20mm Standard 150_1h14m.gcode</t>
  </si>
  <si>
    <t>wires-cover_PLA_Creality_0.20mm Standard 150_44m11s.gcode</t>
  </si>
  <si>
    <t>wires-cover_PLA_Creality_0.20mm Standard 150_37m48s.gcode</t>
  </si>
  <si>
    <t>wires-cover_PLA_Creality_0.20mm Standard 150_39m19s.gcode</t>
  </si>
  <si>
    <t>Tamper_PETG_NIT-W3_0.20mm Standard 150_1h8m.gcode</t>
  </si>
  <si>
    <t>holder_v3_PETG_NIT-W3_0.20mm Standard 150_4h28m.gcode</t>
  </si>
  <si>
    <t>Base_PETG_STARPLAST_0.16mm Optimal 150_1h58m.gcode</t>
  </si>
  <si>
    <t>Base_PETG_STARPLAST_0.16mm Optimal 150_1h45m.gcode</t>
  </si>
  <si>
    <t>SpeedTestStructure_PETG-STAR-G1_21m1s.gcode</t>
  </si>
  <si>
    <t>soap-dish_PETG-NIT-W2_1h58m.gcode</t>
  </si>
  <si>
    <t>PETG-NIT-B5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</si>
</sst>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7" formatCode="#,##0.00\ &quot;₽&quot;;\-#,##0.00\ &quot;₽&quot;"/>
    <numFmt numFmtId="164" formatCode="#,##0.00\ &quot;₽&quot;"/>
    <numFmt numFmtId="165" formatCode="[h]:mm:ss;@"/>
    <numFmt numFmtId="166" formatCode="#,##0.00\ _₽"/>
    <numFmt numFmtId="167" formatCode="0.0000"/>
    <numFmt numFmtId="168" formatCode="dd/mm/yy\ h:mm;@"/>
  </numFmts>
  <fonts count="6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/>
      <top style="thin">
        <color theme="9" tint="0.399914548173467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/>
      <top style="thin">
        <color theme="9" tint="0.39991454817346722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164" fontId="0" fillId="0" borderId="0" xfId="0" applyNumberFormat="1"/>
    <xf numFmtId="7" fontId="0" fillId="0" borderId="0" xfId="0" applyNumberFormat="1"/>
    <xf numFmtId="14" fontId="0" fillId="2" borderId="2" xfId="0" applyNumberFormat="1" applyFill="1" applyBorder="1"/>
    <xf numFmtId="14" fontId="0" fillId="2" borderId="4" xfId="0" applyNumberFormat="1" applyFill="1" applyBorder="1"/>
    <xf numFmtId="2" fontId="0" fillId="0" borderId="0" xfId="0" applyNumberFormat="1"/>
    <xf numFmtId="0" fontId="0" fillId="0" borderId="0" xfId="0" applyBorder="1"/>
    <xf numFmtId="0" fontId="0" fillId="0" borderId="0" xfId="0" applyFill="1" applyBorder="1"/>
    <xf numFmtId="0" fontId="0" fillId="0" borderId="3" xfId="0" applyFill="1" applyBorder="1"/>
    <xf numFmtId="0" fontId="2" fillId="2" borderId="9" xfId="0" applyFont="1" applyFill="1" applyBorder="1"/>
    <xf numFmtId="0" fontId="0" fillId="2" borderId="9" xfId="0" applyFill="1" applyBorder="1"/>
    <xf numFmtId="0" fontId="2" fillId="0" borderId="0" xfId="0" applyFont="1" applyFill="1" applyBorder="1"/>
    <xf numFmtId="0" fontId="2" fillId="0" borderId="0" xfId="0" applyNumberFormat="1" applyFont="1" applyFill="1" applyBorder="1"/>
    <xf numFmtId="7" fontId="0" fillId="3" borderId="4" xfId="0" applyNumberFormat="1" applyFill="1" applyBorder="1"/>
    <xf numFmtId="1" fontId="0" fillId="3" borderId="4" xfId="0" applyNumberFormat="1" applyFill="1" applyBorder="1"/>
    <xf numFmtId="164" fontId="0" fillId="3" borderId="7" xfId="0" applyNumberFormat="1" applyFill="1" applyBorder="1"/>
    <xf numFmtId="164" fontId="0" fillId="3" borderId="0" xfId="0" applyNumberFormat="1" applyFill="1" applyBorder="1"/>
    <xf numFmtId="164" fontId="2" fillId="0" borderId="0" xfId="0" applyNumberFormat="1" applyFont="1" applyFill="1" applyBorder="1" applyAlignment="1">
      <alignment horizontal="right"/>
    </xf>
    <xf numFmtId="14" fontId="0" fillId="0" borderId="0" xfId="0" applyNumberFormat="1" applyFont="1" applyFill="1" applyBorder="1"/>
    <xf numFmtId="164" fontId="2" fillId="0" borderId="0" xfId="0" applyNumberFormat="1" applyFont="1" applyFill="1" applyBorder="1"/>
    <xf numFmtId="0" fontId="2" fillId="6" borderId="9" xfId="0" applyFont="1" applyFill="1" applyBorder="1"/>
    <xf numFmtId="14" fontId="0" fillId="6" borderId="9" xfId="0" applyNumberFormat="1" applyFill="1" applyBorder="1"/>
    <xf numFmtId="0" fontId="2" fillId="7" borderId="9" xfId="0" applyNumberFormat="1" applyFont="1" applyFill="1" applyBorder="1"/>
    <xf numFmtId="0" fontId="2" fillId="6" borderId="9" xfId="0" applyNumberFormat="1" applyFont="1" applyFill="1" applyBorder="1"/>
    <xf numFmtId="0" fontId="2" fillId="5" borderId="9" xfId="0" applyFont="1" applyFill="1" applyBorder="1"/>
    <xf numFmtId="164" fontId="0" fillId="0" borderId="0" xfId="0" applyNumberFormat="1" applyFill="1" applyBorder="1"/>
    <xf numFmtId="0" fontId="0" fillId="0" borderId="1" xfId="0" applyFill="1" applyBorder="1"/>
    <xf numFmtId="164" fontId="0" fillId="3" borderId="8" xfId="0" applyNumberFormat="1" applyFill="1" applyBorder="1"/>
    <xf numFmtId="164" fontId="0" fillId="3" borderId="12" xfId="0" applyNumberFormat="1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  <xf numFmtId="165" fontId="0" fillId="3" borderId="10" xfId="0" applyNumberFormat="1" applyFill="1" applyBorder="1"/>
    <xf numFmtId="0" fontId="0" fillId="3" borderId="12" xfId="0" applyFill="1" applyBorder="1"/>
    <xf numFmtId="0" fontId="0" fillId="3" borderId="11" xfId="0" applyFill="1" applyBorder="1"/>
    <xf numFmtId="165" fontId="0" fillId="3" borderId="3" xfId="0" applyNumberFormat="1" applyFill="1" applyBorder="1"/>
    <xf numFmtId="0" fontId="0" fillId="3" borderId="8" xfId="0" applyFill="1" applyBorder="1"/>
    <xf numFmtId="164" fontId="0" fillId="4" borderId="6" xfId="0" applyNumberFormat="1" applyFill="1" applyBorder="1"/>
    <xf numFmtId="0" fontId="0" fillId="6" borderId="9" xfId="0" applyFill="1" applyBorder="1"/>
    <xf numFmtId="0" fontId="2" fillId="4" borderId="13" xfId="0" applyFont="1" applyFill="1" applyBorder="1"/>
    <xf numFmtId="0" fontId="2" fillId="4" borderId="0" xfId="0" applyFont="1" applyFill="1" applyBorder="1"/>
    <xf numFmtId="0" fontId="0" fillId="0" borderId="0" xfId="0" applyNumberFormat="1"/>
    <xf numFmtId="22" fontId="0" fillId="0" borderId="0" xfId="0" applyNumberFormat="1"/>
    <xf numFmtId="165" fontId="0" fillId="3" borderId="14" xfId="0" applyNumberFormat="1" applyFill="1" applyBorder="1"/>
    <xf numFmtId="2" fontId="0" fillId="3" borderId="14" xfId="0" applyNumberFormat="1" applyFill="1" applyBorder="1"/>
    <xf numFmtId="166" fontId="0" fillId="3" borderId="14" xfId="0" applyNumberFormat="1" applyFill="1" applyBorder="1"/>
    <xf numFmtId="166" fontId="0" fillId="3" borderId="15" xfId="0" applyNumberFormat="1" applyFill="1" applyBorder="1"/>
    <xf numFmtId="0" fontId="0" fillId="3" borderId="17" xfId="0" applyFill="1" applyBorder="1"/>
    <xf numFmtId="165" fontId="0" fillId="3" borderId="17" xfId="0" applyNumberFormat="1" applyFill="1" applyBorder="1"/>
    <xf numFmtId="2" fontId="0" fillId="3" borderId="17" xfId="0" applyNumberFormat="1" applyFill="1" applyBorder="1"/>
    <xf numFmtId="166" fontId="0" fillId="3" borderId="17" xfId="0" applyNumberFormat="1" applyFill="1" applyBorder="1"/>
    <xf numFmtId="166" fontId="0" fillId="3" borderId="18" xfId="0" applyNumberFormat="1" applyFill="1" applyBorder="1"/>
    <xf numFmtId="166" fontId="3" fillId="3" borderId="17" xfId="0" applyNumberFormat="1" applyFont="1" applyFill="1" applyBorder="1"/>
    <xf numFmtId="166" fontId="3" fillId="3" borderId="18" xfId="0" applyNumberFormat="1" applyFont="1" applyFill="1" applyBorder="1"/>
    <xf numFmtId="0" fontId="0" fillId="3" borderId="18" xfId="0" applyFill="1" applyBorder="1"/>
    <xf numFmtId="0" fontId="0" fillId="3" borderId="20" xfId="0" applyFill="1" applyBorder="1"/>
    <xf numFmtId="0" fontId="0" fillId="3" borderId="22" xfId="0" applyFill="1" applyBorder="1"/>
    <xf numFmtId="0" fontId="0" fillId="3" borderId="23" xfId="0" applyFill="1" applyBorder="1"/>
    <xf numFmtId="49" fontId="2" fillId="4" borderId="13" xfId="0" applyNumberFormat="1" applyFont="1" applyFill="1" applyBorder="1"/>
    <xf numFmtId="49" fontId="0" fillId="0" borderId="0" xfId="0" applyNumberFormat="1" applyBorder="1"/>
    <xf numFmtId="0" fontId="0" fillId="0" borderId="32" xfId="0" applyBorder="1"/>
    <xf numFmtId="0" fontId="0" fillId="0" borderId="36" xfId="0" applyBorder="1"/>
    <xf numFmtId="0" fontId="0" fillId="0" borderId="24" xfId="0" applyBorder="1"/>
    <xf numFmtId="165" fontId="0" fillId="10" borderId="37" xfId="0" applyNumberFormat="1" applyFill="1" applyBorder="1"/>
    <xf numFmtId="2" fontId="0" fillId="3" borderId="37" xfId="0" applyNumberFormat="1" applyFill="1" applyBorder="1"/>
    <xf numFmtId="164" fontId="0" fillId="10" borderId="25" xfId="0" applyNumberFormat="1" applyFill="1" applyBorder="1"/>
    <xf numFmtId="164" fontId="0" fillId="3" borderId="25" xfId="0" applyNumberFormat="1" applyFill="1" applyBorder="1" applyAlignment="1">
      <alignment horizontal="right"/>
    </xf>
    <xf numFmtId="0" fontId="0" fillId="0" borderId="38" xfId="0" applyBorder="1"/>
    <xf numFmtId="164" fontId="0" fillId="10" borderId="39" xfId="0" applyNumberFormat="1" applyFill="1" applyBorder="1"/>
    <xf numFmtId="0" fontId="0" fillId="0" borderId="40" xfId="0" applyBorder="1"/>
    <xf numFmtId="165" fontId="0" fillId="10" borderId="41" xfId="0" applyNumberFormat="1" applyFill="1" applyBorder="1"/>
    <xf numFmtId="0" fontId="0" fillId="0" borderId="42" xfId="0" applyBorder="1"/>
    <xf numFmtId="0" fontId="0" fillId="10" borderId="43" xfId="0" applyFill="1" applyBorder="1"/>
    <xf numFmtId="0" fontId="0" fillId="0" borderId="44" xfId="0" applyBorder="1"/>
    <xf numFmtId="2" fontId="0" fillId="0" borderId="26" xfId="0" applyNumberFormat="1" applyBorder="1"/>
    <xf numFmtId="167" fontId="0" fillId="0" borderId="0" xfId="0" quotePrefix="1" applyNumberFormat="1"/>
    <xf numFmtId="164" fontId="0" fillId="0" borderId="0" xfId="0" applyNumberFormat="1" applyBorder="1"/>
    <xf numFmtId="0" fontId="0" fillId="2" borderId="33" xfId="0" applyFill="1" applyBorder="1"/>
    <xf numFmtId="10" fontId="0" fillId="3" borderId="33" xfId="0" applyNumberFormat="1" applyFill="1" applyBorder="1"/>
    <xf numFmtId="164" fontId="0" fillId="3" borderId="33" xfId="0" applyNumberFormat="1" applyFill="1" applyBorder="1"/>
    <xf numFmtId="7" fontId="0" fillId="3" borderId="33" xfId="0" applyNumberFormat="1" applyFill="1" applyBorder="1"/>
    <xf numFmtId="0" fontId="0" fillId="0" borderId="30" xfId="0" applyFill="1" applyBorder="1"/>
    <xf numFmtId="9" fontId="0" fillId="10" borderId="31" xfId="0" applyNumberFormat="1" applyFill="1" applyBorder="1"/>
    <xf numFmtId="0" fontId="0" fillId="0" borderId="32" xfId="0" applyFill="1" applyBorder="1"/>
    <xf numFmtId="9" fontId="0" fillId="10" borderId="33" xfId="0" applyNumberFormat="1" applyFill="1" applyBorder="1"/>
    <xf numFmtId="164" fontId="0" fillId="10" borderId="33" xfId="0" applyNumberFormat="1" applyFill="1" applyBorder="1"/>
    <xf numFmtId="0" fontId="0" fillId="0" borderId="34" xfId="0" applyFill="1" applyBorder="1"/>
    <xf numFmtId="164" fontId="0" fillId="10" borderId="35" xfId="0" applyNumberFormat="1" applyFill="1" applyBorder="1"/>
    <xf numFmtId="164" fontId="0" fillId="2" borderId="33" xfId="0" applyNumberFormat="1" applyFill="1" applyBorder="1"/>
    <xf numFmtId="2" fontId="0" fillId="3" borderId="46" xfId="0" applyNumberFormat="1" applyFill="1" applyBorder="1" applyAlignment="1">
      <alignment horizontal="center" vertical="center"/>
    </xf>
    <xf numFmtId="168" fontId="0" fillId="3" borderId="47" xfId="0" applyNumberFormat="1" applyFill="1" applyBorder="1" applyAlignment="1">
      <alignment horizontal="center"/>
    </xf>
    <xf numFmtId="0" fontId="0" fillId="3" borderId="46" xfId="0" applyFill="1" applyBorder="1" applyAlignment="1">
      <alignment horizontal="center" vertical="center"/>
    </xf>
    <xf numFmtId="168" fontId="0" fillId="3" borderId="47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49" fontId="2" fillId="4" borderId="0" xfId="0" applyNumberFormat="1" applyFont="1" applyFill="1" applyBorder="1"/>
    <xf numFmtId="49" fontId="0" fillId="3" borderId="14" xfId="0" applyNumberFormat="1" applyFill="1" applyBorder="1"/>
    <xf numFmtId="49" fontId="0" fillId="3" borderId="17" xfId="0" applyNumberFormat="1" applyFill="1" applyBorder="1"/>
    <xf numFmtId="49" fontId="3" fillId="3" borderId="17" xfId="0" applyNumberFormat="1" applyFont="1" applyFill="1" applyBorder="1" applyAlignment="1">
      <alignment horizontal="left"/>
    </xf>
    <xf numFmtId="49" fontId="0" fillId="3" borderId="22" xfId="0" applyNumberFormat="1" applyFill="1" applyBorder="1"/>
    <xf numFmtId="49" fontId="0" fillId="0" borderId="0" xfId="0" applyNumberFormat="1"/>
    <xf numFmtId="0" fontId="0" fillId="11" borderId="45" xfId="0" applyFill="1" applyBorder="1" applyAlignment="1">
      <alignment horizontal="right"/>
    </xf>
    <xf numFmtId="49" fontId="0" fillId="11" borderId="17" xfId="0" applyNumberFormat="1" applyFill="1" applyBorder="1"/>
    <xf numFmtId="165" fontId="0" fillId="3" borderId="37" xfId="0" applyNumberFormat="1" applyFill="1" applyBorder="1"/>
    <xf numFmtId="49" fontId="0" fillId="3" borderId="0" xfId="0" applyNumberFormat="1" applyFill="1" applyBorder="1"/>
    <xf numFmtId="0" fontId="0" fillId="3" borderId="0" xfId="0" applyFill="1"/>
    <xf numFmtId="49" fontId="0" fillId="0" borderId="16" xfId="0" applyNumberFormat="1" applyFill="1" applyBorder="1"/>
    <xf numFmtId="0" fontId="0" fillId="0" borderId="17" xfId="0" applyNumberFormat="1" applyFill="1" applyBorder="1"/>
    <xf numFmtId="22" fontId="0" fillId="0" borderId="17" xfId="0" applyNumberFormat="1" applyFill="1" applyBorder="1"/>
    <xf numFmtId="0" fontId="0" fillId="0" borderId="17" xfId="0" applyFill="1" applyBorder="1"/>
    <xf numFmtId="49" fontId="0" fillId="0" borderId="19" xfId="0" applyNumberFormat="1" applyFill="1" applyBorder="1"/>
    <xf numFmtId="49" fontId="0" fillId="0" borderId="21" xfId="0" applyNumberFormat="1" applyFill="1" applyBorder="1"/>
    <xf numFmtId="0" fontId="0" fillId="0" borderId="22" xfId="0" applyFill="1" applyBorder="1"/>
    <xf numFmtId="49" fontId="0" fillId="11" borderId="27" xfId="0" applyNumberFormat="1" applyFill="1" applyBorder="1" applyAlignment="1">
      <alignment horizontal="center"/>
    </xf>
    <xf numFmtId="49" fontId="0" fillId="11" borderId="28" xfId="0" applyNumberFormat="1" applyFill="1" applyBorder="1" applyAlignment="1">
      <alignment horizontal="center"/>
    </xf>
    <xf numFmtId="49" fontId="0" fillId="11" borderId="29" xfId="0" applyNumberFormat="1" applyFill="1" applyBorder="1" applyAlignment="1">
      <alignment horizontal="center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0" fillId="3" borderId="27" xfId="0" applyNumberFormat="1" applyFont="1" applyFill="1" applyBorder="1" applyAlignment="1">
      <alignment horizontal="center" vertical="center"/>
    </xf>
    <xf numFmtId="49" fontId="0" fillId="3" borderId="28" xfId="0" applyNumberFormat="1" applyFont="1" applyFill="1" applyBorder="1" applyAlignment="1">
      <alignment horizontal="center" vertical="center"/>
    </xf>
    <xf numFmtId="49" fontId="0" fillId="3" borderId="29" xfId="0" applyNumberFormat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164" fontId="0" fillId="8" borderId="4" xfId="0" applyNumberFormat="1" applyFill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0" fontId="0" fillId="0" borderId="9" xfId="0" applyBorder="1"/>
    <xf numFmtId="14" fontId="0" fillId="0" borderId="9" xfId="0" applyNumberFormat="1" applyBorder="1"/>
    <xf numFmtId="49" fontId="5" fillId="12" borderId="27" xfId="0" applyNumberFormat="1" applyFont="1" applyFill="1" applyBorder="1" applyAlignment="1">
      <alignment horizontal="center" vertical="center" wrapText="1"/>
    </xf>
    <xf numFmtId="49" fontId="5" fillId="12" borderId="29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20"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1454817346722"/>
        </left>
        <right style="thin">
          <color theme="9" tint="0.39994506668294322"/>
        </right>
        <top style="thin">
          <color theme="9" tint="0.39991454817346722"/>
        </top>
        <bottom style="thin">
          <color theme="9" tint="0.39991454817346722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1454817346722"/>
        </left>
        <right style="thin">
          <color theme="9" tint="0.39991454817346722"/>
        </right>
        <top style="thin">
          <color theme="9" tint="0.39991454817346722"/>
        </top>
        <bottom style="thin">
          <color theme="9" tint="0.39991454817346722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1454817346722"/>
        </left>
        <right style="thin">
          <color theme="9" tint="0.39991454817346722"/>
        </right>
        <top style="thin">
          <color theme="9" tint="0.39991454817346722"/>
        </top>
        <bottom style="thin">
          <color theme="9" tint="0.39991454817346722"/>
        </bottom>
      </border>
    </dxf>
    <dxf>
      <numFmt numFmtId="169" formatCode="dd/mm/yy\ h:mm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1454817346722"/>
        </left>
        <right style="thin">
          <color theme="9" tint="0.39991454817346722"/>
        </right>
        <top style="thin">
          <color theme="9" tint="0.39991454817346722"/>
        </top>
        <bottom style="thin">
          <color theme="9" tint="0.39991454817346722"/>
        </bottom>
      </border>
    </dxf>
    <dxf>
      <numFmt numFmtId="169" formatCode="dd/mm/yy\ h:mm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1454817346722"/>
        </left>
        <right style="thin">
          <color theme="9" tint="0.39991454817346722"/>
        </right>
        <top style="thin">
          <color theme="9" tint="0.39991454817346722"/>
        </top>
        <bottom style="thin">
          <color theme="9" tint="0.39991454817346722"/>
        </bottom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1454817346722"/>
        </left>
        <right style="thin">
          <color theme="9" tint="0.39991454817346722"/>
        </right>
        <top style="thin">
          <color theme="9" tint="0.39991454817346722"/>
        </top>
        <bottom style="thin">
          <color theme="9" tint="0.39991454817346722"/>
        </bottom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1454817346722"/>
        </left>
        <right style="thin">
          <color theme="9" tint="0.39991454817346722"/>
        </right>
        <top style="thin">
          <color theme="9" tint="0.39991454817346722"/>
        </top>
        <bottom style="thin">
          <color theme="9" tint="0.39991454817346722"/>
        </bottom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 tint="0.39994506668294322"/>
        </left>
        <right style="thin">
          <color theme="9" tint="0.39991454817346722"/>
        </right>
        <top style="thin">
          <color theme="9" tint="0.39991454817346722"/>
        </top>
        <bottom style="thin">
          <color theme="9" tint="0.39991454817346722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 patternType="solid"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 val="0"/>
        <i val="0"/>
      </font>
      <numFmt numFmtId="30" formatCode="@"/>
      <fill>
        <patternFill patternType="solid">
          <bgColor theme="9" tint="0.79998168889431442"/>
        </patternFill>
      </fill>
    </dxf>
    <dxf>
      <fill>
        <patternFill>
          <bgColor theme="0"/>
        </patternFill>
      </fill>
    </dxf>
    <dxf>
      <font>
        <b val="0"/>
        <i val="0"/>
      </font>
      <numFmt numFmtId="30" formatCode="@"/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CCCC"/>
      <color rgb="FFFF5050"/>
      <color rgb="FFE8EB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filename" tableColumnId="1"/>
      <queryTableField id="2" name="type" tableColumnId="2"/>
      <queryTableField id="3" name="status" tableColumnId="3"/>
      <queryTableField id="4" name="start_time" tableColumnId="4"/>
      <queryTableField id="5" name="end_time" tableColumnId="5"/>
      <queryTableField id="6" name="print_duration" tableColumnId="6"/>
      <queryTableField id="7" name="total_duration" tableColumnId="7"/>
      <queryTableField id="8" name="filament_us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rint_history_2025_02_13" displayName="print_history_2025_02_13" ref="A1:H385" tableType="queryTable" totalsRowShown="0" headerRowDxfId="8">
  <autoFilter ref="A1:H385"/>
  <sortState ref="A2:H194">
    <sortCondition ref="E2:E194"/>
  </sortState>
  <tableColumns count="8">
    <tableColumn id="1" uniqueName="1" name="filename" queryTableFieldId="1" dataDxfId="7"/>
    <tableColumn id="2" uniqueName="2" name="type" queryTableFieldId="2" dataDxfId="6"/>
    <tableColumn id="3" uniqueName="3" name="status" queryTableFieldId="3" dataDxfId="5"/>
    <tableColumn id="4" uniqueName="4" name="start_time" queryTableFieldId="4" dataDxfId="4"/>
    <tableColumn id="5" uniqueName="5" name="end_time" queryTableFieldId="5" dataDxfId="3"/>
    <tableColumn id="6" uniqueName="6" name="print_duration" queryTableFieldId="6" dataDxfId="2"/>
    <tableColumn id="7" uniqueName="7" name="total_duration" queryTableFieldId="7" dataDxfId="1"/>
    <tableColumn id="8" uniqueName="8" name="filament_us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A23" sqref="A23:B23"/>
    </sheetView>
  </sheetViews>
  <sheetFormatPr defaultRowHeight="15" x14ac:dyDescent="0.25"/>
  <cols>
    <col min="1" max="1" width="46.7109375" customWidth="1"/>
    <col min="2" max="2" width="15" customWidth="1"/>
    <col min="3" max="3" width="13.42578125" bestFit="1" customWidth="1"/>
    <col min="4" max="4" width="48.28515625" bestFit="1" customWidth="1"/>
    <col min="5" max="5" width="17.28515625" bestFit="1" customWidth="1"/>
    <col min="6" max="6" width="42.7109375" bestFit="1" customWidth="1"/>
    <col min="7" max="7" width="17" bestFit="1" customWidth="1"/>
    <col min="8" max="8" width="23.7109375" customWidth="1"/>
  </cols>
  <sheetData>
    <row r="1" spans="1:8" ht="15.75" thickBot="1" x14ac:dyDescent="0.3">
      <c r="A1" s="81" t="s">
        <v>38</v>
      </c>
      <c r="B1" s="82">
        <v>0.8</v>
      </c>
      <c r="C1" s="76"/>
      <c r="D1" s="112" t="s">
        <v>482</v>
      </c>
      <c r="E1" s="113"/>
      <c r="F1" s="113"/>
      <c r="G1" s="114"/>
      <c r="H1" s="74" t="str">
        <f>VLOOKUP('Калькулятор печати'!D1,printjob,3,0)</f>
        <v>completed</v>
      </c>
    </row>
    <row r="2" spans="1:8" ht="15.75" thickBot="1" x14ac:dyDescent="0.3">
      <c r="A2" s="83" t="s">
        <v>37</v>
      </c>
      <c r="B2" s="84">
        <v>0.35</v>
      </c>
      <c r="C2" s="93"/>
      <c r="D2" s="119">
        <f>VLOOKUP('Калькулятор печати'!D1,printjob,12,0)</f>
        <v>0</v>
      </c>
      <c r="E2" s="120"/>
      <c r="F2" s="120"/>
      <c r="G2" s="121"/>
      <c r="H2" s="5"/>
    </row>
    <row r="3" spans="1:8" x14ac:dyDescent="0.25">
      <c r="A3" s="83" t="s">
        <v>209</v>
      </c>
      <c r="B3" s="85">
        <v>100</v>
      </c>
      <c r="C3" s="1"/>
      <c r="D3" s="67" t="s">
        <v>15</v>
      </c>
      <c r="E3" s="68">
        <v>7.08</v>
      </c>
      <c r="F3" s="69" t="s">
        <v>19</v>
      </c>
      <c r="G3" s="70">
        <v>0</v>
      </c>
      <c r="H3" s="89" t="s">
        <v>246</v>
      </c>
    </row>
    <row r="4" spans="1:8" ht="15.75" thickBot="1" x14ac:dyDescent="0.3">
      <c r="A4" s="83" t="s">
        <v>210</v>
      </c>
      <c r="B4" s="85">
        <v>0</v>
      </c>
      <c r="C4" s="1"/>
      <c r="D4" s="61" t="s">
        <v>25</v>
      </c>
      <c r="E4" s="66">
        <f>VLOOKUP(G9,Материалы!A2:D90,2,0)</f>
        <v>869</v>
      </c>
      <c r="F4" s="62" t="s">
        <v>20</v>
      </c>
      <c r="G4" s="63">
        <v>6.9444444444444441E-3</v>
      </c>
      <c r="H4" s="90">
        <f>VLOOKUP('Калькулятор печати'!D1,printjob,4,0)</f>
        <v>46053.629166666666</v>
      </c>
    </row>
    <row r="5" spans="1:8" ht="15.75" thickBot="1" x14ac:dyDescent="0.3">
      <c r="A5" s="86" t="s">
        <v>211</v>
      </c>
      <c r="B5" s="87">
        <v>0</v>
      </c>
      <c r="C5" s="1"/>
      <c r="D5" s="61" t="s">
        <v>16</v>
      </c>
      <c r="E5" s="65">
        <v>50</v>
      </c>
      <c r="F5" s="62" t="s">
        <v>21</v>
      </c>
      <c r="G5" s="102">
        <f>VLOOKUP('Калькулятор печати'!D1,printjob,9,0)</f>
        <v>0.16214120370370369</v>
      </c>
      <c r="H5" s="91" t="s">
        <v>247</v>
      </c>
    </row>
    <row r="6" spans="1:8" ht="15.75" thickBot="1" x14ac:dyDescent="0.3">
      <c r="A6" s="83" t="s">
        <v>13</v>
      </c>
      <c r="B6" s="88">
        <v>47454</v>
      </c>
      <c r="C6" s="1"/>
      <c r="D6" s="61" t="s">
        <v>17</v>
      </c>
      <c r="E6" s="65">
        <v>100</v>
      </c>
      <c r="F6" s="62" t="s">
        <v>22</v>
      </c>
      <c r="G6" s="63">
        <v>4.1666666666666664E-2</v>
      </c>
      <c r="H6" s="92">
        <f>VLOOKUP('Калькулятор печати'!D1,printjob,5,0)</f>
        <v>46053.791666666664</v>
      </c>
    </row>
    <row r="7" spans="1:8" x14ac:dyDescent="0.25">
      <c r="A7" s="83" t="s">
        <v>14</v>
      </c>
      <c r="B7" s="77">
        <v>3</v>
      </c>
      <c r="D7" s="61" t="s">
        <v>18</v>
      </c>
      <c r="E7" s="65">
        <v>600</v>
      </c>
      <c r="F7" s="62" t="s">
        <v>23</v>
      </c>
      <c r="G7" s="64">
        <f>VLOOKUP('Калькулятор печати'!D1,printjob,11,0)</f>
        <v>134.94029209963961</v>
      </c>
      <c r="H7" s="75"/>
    </row>
    <row r="8" spans="1:8" x14ac:dyDescent="0.25">
      <c r="A8" s="60" t="s">
        <v>0</v>
      </c>
      <c r="B8" s="78">
        <f>100%*1/B7</f>
        <v>0.33333333333333331</v>
      </c>
      <c r="D8" s="61" t="s">
        <v>30</v>
      </c>
      <c r="E8" s="65">
        <v>0</v>
      </c>
      <c r="F8" s="62" t="s">
        <v>24</v>
      </c>
      <c r="G8" s="64">
        <f>VLOOKUP('Калькулятор печати'!D1,printjob,10,0)</f>
        <v>45.611101000000005</v>
      </c>
    </row>
    <row r="9" spans="1:8" ht="15.75" thickBot="1" x14ac:dyDescent="0.3">
      <c r="A9" s="60" t="s">
        <v>2</v>
      </c>
      <c r="B9" s="79">
        <f>B6*B8</f>
        <v>15818</v>
      </c>
      <c r="D9" s="71" t="s">
        <v>27</v>
      </c>
      <c r="E9" s="72">
        <v>0.35</v>
      </c>
      <c r="F9" s="73" t="s">
        <v>26</v>
      </c>
      <c r="G9" s="100" t="s">
        <v>470</v>
      </c>
    </row>
    <row r="10" spans="1:8" ht="15.75" thickBot="1" x14ac:dyDescent="0.3">
      <c r="A10" s="60" t="s">
        <v>1</v>
      </c>
      <c r="B10" s="80">
        <f>B9/12</f>
        <v>1318.1666666666667</v>
      </c>
    </row>
    <row r="11" spans="1:8" x14ac:dyDescent="0.25">
      <c r="A11" s="60" t="s">
        <v>5</v>
      </c>
      <c r="B11" s="80">
        <f>B10/30</f>
        <v>43.93888888888889</v>
      </c>
      <c r="D11" s="29" t="s">
        <v>213</v>
      </c>
      <c r="E11" s="15">
        <f>E7*G3*1440/60+E8</f>
        <v>0</v>
      </c>
      <c r="F11" s="122" t="s">
        <v>29</v>
      </c>
      <c r="G11" s="125">
        <f>E11+E12+E13</f>
        <v>116.66666666666666</v>
      </c>
    </row>
    <row r="12" spans="1:8" x14ac:dyDescent="0.25">
      <c r="A12" s="60" t="s">
        <v>7</v>
      </c>
      <c r="B12" s="80">
        <f>B11/8</f>
        <v>5.4923611111111112</v>
      </c>
      <c r="D12" s="30" t="s">
        <v>205</v>
      </c>
      <c r="E12" s="16">
        <f>E6*G4*1440/60</f>
        <v>16.666666666666668</v>
      </c>
      <c r="F12" s="123"/>
      <c r="G12" s="126"/>
    </row>
    <row r="13" spans="1:8" ht="15.75" thickBot="1" x14ac:dyDescent="0.3">
      <c r="A13" s="60" t="s">
        <v>6</v>
      </c>
      <c r="B13" s="80">
        <f>B12/60</f>
        <v>9.1539351851851858E-2</v>
      </c>
      <c r="D13" s="31" t="s">
        <v>206</v>
      </c>
      <c r="E13" s="27">
        <f>E6*G6*1440/60</f>
        <v>99.999999999999986</v>
      </c>
      <c r="F13" s="124"/>
      <c r="G13" s="127"/>
    </row>
    <row r="14" spans="1:8" ht="15.75" thickBot="1" x14ac:dyDescent="0.3">
      <c r="A14" s="115" t="s">
        <v>8</v>
      </c>
      <c r="B14" s="116"/>
      <c r="D14" s="29" t="s">
        <v>28</v>
      </c>
      <c r="E14" s="15">
        <f>E3*E9*G5*1440/60</f>
        <v>9.6428616666666649</v>
      </c>
      <c r="F14" s="122" t="s">
        <v>212</v>
      </c>
      <c r="G14" s="125">
        <f>E14+E15+E16</f>
        <v>152.08607499213622</v>
      </c>
    </row>
    <row r="15" spans="1:8" ht="15.75" thickBot="1" x14ac:dyDescent="0.3">
      <c r="B15" s="2"/>
      <c r="D15" s="30" t="s">
        <v>207</v>
      </c>
      <c r="E15" s="16">
        <f>E4/1000*G7</f>
        <v>117.26311383458682</v>
      </c>
      <c r="F15" s="123"/>
      <c r="G15" s="126"/>
    </row>
    <row r="16" spans="1:8" ht="15.75" thickBot="1" x14ac:dyDescent="0.3">
      <c r="A16" s="26" t="s">
        <v>9</v>
      </c>
      <c r="B16" s="3">
        <v>45611</v>
      </c>
      <c r="D16" s="35" t="s">
        <v>208</v>
      </c>
      <c r="E16" s="16">
        <f>B19*G5+1440/60</f>
        <v>25.180099490882753</v>
      </c>
      <c r="F16" s="123"/>
      <c r="G16" s="126"/>
    </row>
    <row r="17" spans="1:7" ht="15.75" thickBot="1" x14ac:dyDescent="0.3">
      <c r="A17" s="8" t="s">
        <v>10</v>
      </c>
      <c r="B17" s="4">
        <v>46751</v>
      </c>
      <c r="D17" s="32" t="s">
        <v>292</v>
      </c>
      <c r="E17" s="28">
        <f>E16+E15+E14+E13+E12+E11+E5</f>
        <v>318.7527416588029</v>
      </c>
      <c r="F17" s="33"/>
      <c r="G17" s="34"/>
    </row>
    <row r="18" spans="1:7" ht="15.75" thickBot="1" x14ac:dyDescent="0.3">
      <c r="A18" s="8" t="s">
        <v>11</v>
      </c>
      <c r="B18" s="14">
        <f>NETWORKDAYS(B16,B17,)*8</f>
        <v>6520</v>
      </c>
      <c r="D18" s="31" t="s">
        <v>214</v>
      </c>
      <c r="E18" s="36"/>
      <c r="F18" s="36"/>
      <c r="G18" s="37">
        <f>E17+E17*B1+E17*B2+B3+B4+B5</f>
        <v>785.31839456642626</v>
      </c>
    </row>
    <row r="19" spans="1:7" x14ac:dyDescent="0.25">
      <c r="A19" s="8" t="s">
        <v>3</v>
      </c>
      <c r="B19" s="13">
        <f>1/B18*B6</f>
        <v>7.2782208588957058</v>
      </c>
      <c r="F19" s="7"/>
      <c r="G19" s="25"/>
    </row>
    <row r="20" spans="1:7" x14ac:dyDescent="0.25">
      <c r="A20" s="8" t="s">
        <v>4</v>
      </c>
      <c r="B20" s="13">
        <f>B19/60</f>
        <v>0.12130368098159509</v>
      </c>
      <c r="F20" s="7"/>
      <c r="G20" s="25"/>
    </row>
    <row r="21" spans="1:7" ht="83.25" customHeight="1" thickBot="1" x14ac:dyDescent="0.3">
      <c r="A21" s="117" t="s">
        <v>12</v>
      </c>
      <c r="B21" s="118"/>
    </row>
    <row r="22" spans="1:7" ht="15.75" thickBot="1" x14ac:dyDescent="0.3"/>
    <row r="23" spans="1:7" ht="33.75" customHeight="1" thickBot="1" x14ac:dyDescent="0.3">
      <c r="A23" s="130" t="s">
        <v>250</v>
      </c>
      <c r="B23" s="131"/>
      <c r="C23" s="7"/>
    </row>
    <row r="24" spans="1:7" x14ac:dyDescent="0.25">
      <c r="A24" s="11"/>
      <c r="B24" s="17"/>
      <c r="C24" s="18"/>
    </row>
    <row r="25" spans="1:7" x14ac:dyDescent="0.25">
      <c r="A25" s="12"/>
      <c r="B25" s="19"/>
      <c r="C25" s="18"/>
    </row>
    <row r="26" spans="1:7" x14ac:dyDescent="0.25">
      <c r="A26" s="12"/>
      <c r="B26" s="19"/>
      <c r="C26" s="18"/>
    </row>
    <row r="27" spans="1:7" x14ac:dyDescent="0.25">
      <c r="A27" s="12"/>
      <c r="B27" s="19"/>
      <c r="C27" s="18"/>
    </row>
    <row r="28" spans="1:7" x14ac:dyDescent="0.25">
      <c r="A28" s="12"/>
      <c r="B28" s="19"/>
      <c r="C28" s="18"/>
    </row>
    <row r="29" spans="1:7" x14ac:dyDescent="0.25">
      <c r="A29" s="12"/>
      <c r="B29" s="19"/>
      <c r="C29" s="18"/>
    </row>
    <row r="30" spans="1:7" x14ac:dyDescent="0.25">
      <c r="A30" s="12"/>
      <c r="B30" s="19"/>
      <c r="C30" s="18"/>
    </row>
    <row r="31" spans="1:7" x14ac:dyDescent="0.25">
      <c r="A31" s="12"/>
      <c r="B31" s="19"/>
      <c r="C31" s="18"/>
    </row>
  </sheetData>
  <mergeCells count="9">
    <mergeCell ref="D1:G1"/>
    <mergeCell ref="A14:B14"/>
    <mergeCell ref="A21:B21"/>
    <mergeCell ref="A23:B23"/>
    <mergeCell ref="D2:G2"/>
    <mergeCell ref="F11:F13"/>
    <mergeCell ref="G11:G13"/>
    <mergeCell ref="F14:F16"/>
    <mergeCell ref="G14:G16"/>
  </mergeCells>
  <conditionalFormatting sqref="H1">
    <cfRule type="containsText" dxfId="19" priority="3" operator="containsText" text="clippy_shutdown">
      <formula>NOT(ISERROR(SEARCH("clippy_shutdown",H1)))</formula>
    </cfRule>
    <cfRule type="containsText" dxfId="18" priority="4" operator="containsText" text="error">
      <formula>NOT(ISERROR(SEARCH("error",H1)))</formula>
    </cfRule>
    <cfRule type="containsText" dxfId="17" priority="5" operator="containsText" text="cancelled">
      <formula>NOT(ISERROR(SEARCH("cancelled",H1)))</formula>
    </cfRule>
    <cfRule type="containsText" dxfId="16" priority="6" operator="containsText" text="completed">
      <formula>NOT(ISERROR(SEARCH("completed",H1)))</formula>
    </cfRule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D2:G2">
    <cfRule type="cellIs" dxfId="15" priority="1" operator="equal">
      <formula>0</formula>
    </cfRule>
    <cfRule type="containsText" dxfId="14" priority="2" operator="containsText" text="0">
      <formula>NOT(ISERROR(SEARCH("0",D2)))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information" allowBlank="1" showInputMessage="1" showErrorMessage="1" error="Что-то пошло не так" prompt="выбери материал из списка">
          <x14:formula1>
            <xm:f>Материалы!$A:$A</xm:f>
          </x14:formula1>
          <xm:sqref>G9</xm:sqref>
        </x14:dataValidation>
        <x14:dataValidation type="list" allowBlank="1" showInputMessage="1" showErrorMessage="1" error="Что-то пошло не так" prompt="Выбери задание на печать из списка">
          <x14:formula1>
            <xm:f>print_history!$A:$A</xm:f>
          </x14:formula1>
          <xm:sqref>D1:G1</xm:sqref>
        </x14:dataValidation>
        <x14:dataValidation type="custom" allowBlank="1" showInputMessage="1" showErrorMessage="1">
          <x14:formula1>
            <xm:f>OFFSET(Материалы!A3:A9,0,1,1,1)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J1" sqref="J1"/>
    </sheetView>
  </sheetViews>
  <sheetFormatPr defaultRowHeight="15" x14ac:dyDescent="0.25"/>
  <cols>
    <col min="1" max="1" width="17" bestFit="1" customWidth="1"/>
    <col min="2" max="2" width="10.5703125" bestFit="1" customWidth="1"/>
    <col min="3" max="3" width="13.42578125" bestFit="1" customWidth="1"/>
    <col min="4" max="4" width="12" customWidth="1"/>
  </cols>
  <sheetData>
    <row r="1" spans="1:6" x14ac:dyDescent="0.25">
      <c r="A1" s="9" t="s">
        <v>33</v>
      </c>
      <c r="B1" s="9" t="s">
        <v>34</v>
      </c>
      <c r="C1" s="10" t="s">
        <v>39</v>
      </c>
      <c r="D1" s="10" t="s">
        <v>235</v>
      </c>
      <c r="F1" t="s">
        <v>415</v>
      </c>
    </row>
    <row r="2" spans="1:6" x14ac:dyDescent="0.25">
      <c r="A2" s="23" t="s">
        <v>338</v>
      </c>
      <c r="B2" s="20">
        <v>965</v>
      </c>
      <c r="C2" s="21">
        <v>45741</v>
      </c>
      <c r="D2" s="38">
        <v>1.24</v>
      </c>
      <c r="F2" t="s">
        <v>416</v>
      </c>
    </row>
    <row r="3" spans="1:6" x14ac:dyDescent="0.25">
      <c r="A3" s="23" t="s">
        <v>244</v>
      </c>
      <c r="B3" s="20">
        <v>916</v>
      </c>
      <c r="C3" s="21">
        <v>45691</v>
      </c>
      <c r="D3" s="38">
        <v>1.27</v>
      </c>
    </row>
    <row r="4" spans="1:6" x14ac:dyDescent="0.25">
      <c r="A4" s="22" t="s">
        <v>245</v>
      </c>
      <c r="B4" s="20">
        <v>969</v>
      </c>
      <c r="C4" s="21">
        <v>45691</v>
      </c>
      <c r="D4" s="38">
        <v>1.27</v>
      </c>
    </row>
    <row r="5" spans="1:6" x14ac:dyDescent="0.25">
      <c r="A5" s="24" t="s">
        <v>31</v>
      </c>
      <c r="B5" s="20">
        <v>790</v>
      </c>
      <c r="C5" s="21">
        <v>45666</v>
      </c>
      <c r="D5" s="38">
        <v>1.27</v>
      </c>
    </row>
    <row r="6" spans="1:6" x14ac:dyDescent="0.25">
      <c r="A6" s="22" t="s">
        <v>32</v>
      </c>
      <c r="B6" s="20">
        <v>826</v>
      </c>
      <c r="C6" s="21">
        <v>45641</v>
      </c>
      <c r="D6" s="38">
        <v>1.27</v>
      </c>
    </row>
    <row r="7" spans="1:6" x14ac:dyDescent="0.25">
      <c r="A7" s="23" t="s">
        <v>35</v>
      </c>
      <c r="B7" s="20">
        <v>796</v>
      </c>
      <c r="C7" s="21">
        <v>45641</v>
      </c>
      <c r="D7" s="38">
        <v>1.27</v>
      </c>
    </row>
    <row r="8" spans="1:6" x14ac:dyDescent="0.25">
      <c r="A8" s="22" t="s">
        <v>36</v>
      </c>
      <c r="B8" s="20">
        <v>540</v>
      </c>
      <c r="C8" s="21">
        <v>45625</v>
      </c>
      <c r="D8" s="38">
        <v>1.27</v>
      </c>
    </row>
    <row r="9" spans="1:6" x14ac:dyDescent="0.25">
      <c r="A9" s="23" t="s">
        <v>55</v>
      </c>
      <c r="B9" s="20">
        <v>0</v>
      </c>
      <c r="C9" s="21">
        <v>45611</v>
      </c>
      <c r="D9" s="38">
        <v>1.27</v>
      </c>
    </row>
    <row r="10" spans="1:6" x14ac:dyDescent="0.25">
      <c r="A10" s="128" t="s">
        <v>373</v>
      </c>
      <c r="B10" s="20">
        <v>865</v>
      </c>
      <c r="C10" s="129">
        <v>45760</v>
      </c>
      <c r="D10" s="38">
        <v>1.27</v>
      </c>
    </row>
    <row r="11" spans="1:6" x14ac:dyDescent="0.25">
      <c r="A11" s="128" t="s">
        <v>469</v>
      </c>
      <c r="B11" s="20">
        <v>1000</v>
      </c>
      <c r="C11" s="128"/>
      <c r="D11" s="38">
        <v>1.27</v>
      </c>
    </row>
    <row r="12" spans="1:6" x14ac:dyDescent="0.25">
      <c r="A12" s="128" t="s">
        <v>470</v>
      </c>
      <c r="B12" s="20">
        <v>869</v>
      </c>
      <c r="C12" s="129">
        <v>45990</v>
      </c>
      <c r="D12" s="38">
        <v>1.27</v>
      </c>
    </row>
    <row r="13" spans="1:6" x14ac:dyDescent="0.25">
      <c r="A13" s="128" t="s">
        <v>471</v>
      </c>
      <c r="B13" s="20">
        <v>694</v>
      </c>
      <c r="C13" s="129">
        <v>45990</v>
      </c>
      <c r="D13" s="38">
        <v>1.27</v>
      </c>
    </row>
    <row r="14" spans="1:6" x14ac:dyDescent="0.25">
      <c r="A14" s="128" t="s">
        <v>472</v>
      </c>
      <c r="B14" s="20">
        <v>794</v>
      </c>
      <c r="C14" s="129">
        <v>45990</v>
      </c>
      <c r="D14" s="38">
        <v>1.27</v>
      </c>
    </row>
    <row r="15" spans="1:6" x14ac:dyDescent="0.25">
      <c r="A15" s="128" t="s">
        <v>473</v>
      </c>
      <c r="B15" s="20">
        <v>865</v>
      </c>
      <c r="C15" s="129">
        <v>45757</v>
      </c>
      <c r="D15" s="38">
        <v>1.27</v>
      </c>
    </row>
    <row r="16" spans="1:6" x14ac:dyDescent="0.25">
      <c r="A16" s="128" t="s">
        <v>515</v>
      </c>
      <c r="B16" s="128"/>
      <c r="C16" s="128"/>
      <c r="D16" s="38">
        <v>1.27</v>
      </c>
    </row>
  </sheetData>
  <sortState ref="A3:C9">
    <sortCondition descending="1" ref="C3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1"/>
  <sheetViews>
    <sheetView workbookViewId="0">
      <pane ySplit="1" topLeftCell="A2" activePane="bottomLeft" state="frozen"/>
      <selection pane="bottomLeft" activeCell="L59" sqref="L59:L62"/>
    </sheetView>
  </sheetViews>
  <sheetFormatPr defaultRowHeight="15" x14ac:dyDescent="0.25"/>
  <cols>
    <col min="1" max="1" width="94.42578125" style="59" bestFit="1" customWidth="1"/>
    <col min="2" max="2" width="5" style="6" bestFit="1" customWidth="1"/>
    <col min="3" max="3" width="16.42578125" style="6" bestFit="1" customWidth="1"/>
    <col min="4" max="5" width="15.28515625" style="6" bestFit="1" customWidth="1"/>
    <col min="6" max="6" width="14" style="6" bestFit="1" customWidth="1"/>
    <col min="7" max="7" width="13.85546875" style="6" bestFit="1" customWidth="1"/>
    <col min="8" max="8" width="14" style="6" bestFit="1" customWidth="1"/>
    <col min="9" max="9" width="13.7109375" style="6" bestFit="1" customWidth="1"/>
    <col min="10" max="10" width="15.5703125" style="6" bestFit="1" customWidth="1"/>
    <col min="11" max="11" width="14.85546875" style="6" customWidth="1"/>
    <col min="12" max="12" width="70.7109375" style="99" bestFit="1" customWidth="1"/>
    <col min="13" max="13" width="15.28515625" bestFit="1" customWidth="1"/>
  </cols>
  <sheetData>
    <row r="1" spans="1:14" x14ac:dyDescent="0.25">
      <c r="A1" s="58" t="s">
        <v>216</v>
      </c>
      <c r="B1" s="39" t="s">
        <v>217</v>
      </c>
      <c r="C1" s="39" t="s">
        <v>218</v>
      </c>
      <c r="D1" s="39" t="s">
        <v>219</v>
      </c>
      <c r="E1" s="39" t="s">
        <v>220</v>
      </c>
      <c r="F1" s="39" t="s">
        <v>221</v>
      </c>
      <c r="G1" s="39" t="s">
        <v>222</v>
      </c>
      <c r="H1" s="39" t="s">
        <v>223</v>
      </c>
      <c r="I1" s="39" t="s">
        <v>232</v>
      </c>
      <c r="J1" s="39" t="s">
        <v>233</v>
      </c>
      <c r="K1" s="39" t="s">
        <v>234</v>
      </c>
      <c r="L1" s="94" t="s">
        <v>42</v>
      </c>
      <c r="M1" s="40" t="s">
        <v>236</v>
      </c>
      <c r="N1" s="40" t="s">
        <v>237</v>
      </c>
    </row>
    <row r="2" spans="1:14" x14ac:dyDescent="0.25">
      <c r="A2" s="41" t="s">
        <v>474</v>
      </c>
      <c r="B2" s="41" t="s">
        <v>224</v>
      </c>
      <c r="C2" s="41" t="s">
        <v>225</v>
      </c>
      <c r="D2" s="42">
        <v>46090.742361111108</v>
      </c>
      <c r="E2" s="42">
        <v>46090.825694444444</v>
      </c>
      <c r="F2">
        <v>6829</v>
      </c>
      <c r="G2">
        <v>7209</v>
      </c>
      <c r="H2">
        <v>26141.233</v>
      </c>
      <c r="I2" s="43">
        <f>G2/86400</f>
        <v>8.3437499999999998E-2</v>
      </c>
      <c r="J2" s="44">
        <f>H2/1000</f>
        <v>26.141233</v>
      </c>
      <c r="K2" s="44">
        <f t="shared" ref="K2:K64" si="0">1.23*PI()*(1.75/2)^2*H2/1000</f>
        <v>77.338751740825941</v>
      </c>
      <c r="L2" s="104"/>
      <c r="M2" s="45"/>
      <c r="N2" s="46"/>
    </row>
    <row r="3" spans="1:14" x14ac:dyDescent="0.25">
      <c r="A3" s="41" t="s">
        <v>475</v>
      </c>
      <c r="B3" s="41" t="s">
        <v>224</v>
      </c>
      <c r="C3" s="41" t="s">
        <v>225</v>
      </c>
      <c r="D3" s="42">
        <v>46090.707638888889</v>
      </c>
      <c r="E3" s="42">
        <v>46090.71597222222</v>
      </c>
      <c r="F3">
        <v>360</v>
      </c>
      <c r="G3">
        <v>687</v>
      </c>
      <c r="H3">
        <v>571.255</v>
      </c>
      <c r="I3" s="48">
        <f t="shared" ref="I3:I66" si="1">G3/86400</f>
        <v>7.951388888888888E-3</v>
      </c>
      <c r="J3" s="49">
        <f t="shared" ref="J3:J66" si="2">H3/1000</f>
        <v>0.57125499999999996</v>
      </c>
      <c r="K3" s="49">
        <f t="shared" ref="K3:K66" si="3">1.23*PI()*(1.75/2)^2*H3/1000</f>
        <v>1.6900560362131933</v>
      </c>
      <c r="L3" s="104"/>
      <c r="M3" s="50"/>
      <c r="N3" s="51"/>
    </row>
    <row r="4" spans="1:14" x14ac:dyDescent="0.25">
      <c r="A4" s="41" t="s">
        <v>476</v>
      </c>
      <c r="B4" s="41" t="s">
        <v>224</v>
      </c>
      <c r="C4" s="41" t="s">
        <v>225</v>
      </c>
      <c r="D4" s="42">
        <v>46082.525000000001</v>
      </c>
      <c r="E4" s="42">
        <v>46082.65902777778</v>
      </c>
      <c r="F4">
        <v>11274</v>
      </c>
      <c r="G4">
        <v>11611</v>
      </c>
      <c r="H4">
        <v>28900.367999999999</v>
      </c>
      <c r="I4" s="43">
        <f t="shared" si="1"/>
        <v>0.13438657407407406</v>
      </c>
      <c r="J4" s="44">
        <f t="shared" si="2"/>
        <v>28.900368</v>
      </c>
      <c r="K4" s="44">
        <f t="shared" si="0"/>
        <v>85.501643551798423</v>
      </c>
      <c r="L4" s="104"/>
      <c r="M4" s="50"/>
      <c r="N4" s="51"/>
    </row>
    <row r="5" spans="1:14" x14ac:dyDescent="0.25">
      <c r="A5" s="41" t="s">
        <v>477</v>
      </c>
      <c r="B5" s="41" t="s">
        <v>224</v>
      </c>
      <c r="C5" s="41" t="s">
        <v>225</v>
      </c>
      <c r="D5" s="42">
        <v>46082.442361111112</v>
      </c>
      <c r="E5" s="42">
        <v>46082.505555555559</v>
      </c>
      <c r="F5">
        <v>5086</v>
      </c>
      <c r="G5">
        <v>5486</v>
      </c>
      <c r="H5">
        <v>18878.802</v>
      </c>
      <c r="I5" s="48">
        <f t="shared" si="1"/>
        <v>6.3495370370370369E-2</v>
      </c>
      <c r="J5" s="49">
        <f t="shared" si="2"/>
        <v>18.878802</v>
      </c>
      <c r="K5" s="49">
        <f t="shared" si="3"/>
        <v>55.852873544343076</v>
      </c>
      <c r="L5" s="104"/>
      <c r="M5" s="50"/>
      <c r="N5" s="51"/>
    </row>
    <row r="6" spans="1:14" x14ac:dyDescent="0.25">
      <c r="A6" s="41" t="s">
        <v>478</v>
      </c>
      <c r="B6" s="41" t="s">
        <v>224</v>
      </c>
      <c r="C6" s="41" t="s">
        <v>225</v>
      </c>
      <c r="D6" s="42">
        <v>46081.938194444447</v>
      </c>
      <c r="E6" s="42">
        <v>46081.96597222222</v>
      </c>
      <c r="F6">
        <v>1976</v>
      </c>
      <c r="G6">
        <v>2401</v>
      </c>
      <c r="H6">
        <v>3809.4389999999999</v>
      </c>
      <c r="I6" s="43">
        <f t="shared" si="1"/>
        <v>2.7789351851851853E-2</v>
      </c>
      <c r="J6" s="44">
        <f t="shared" si="2"/>
        <v>3.8094389999999998</v>
      </c>
      <c r="K6" s="44">
        <f t="shared" si="0"/>
        <v>11.270212736056489</v>
      </c>
      <c r="L6" s="104"/>
      <c r="M6" s="50"/>
      <c r="N6" s="51"/>
    </row>
    <row r="7" spans="1:14" x14ac:dyDescent="0.25">
      <c r="A7" s="41" t="s">
        <v>479</v>
      </c>
      <c r="B7" s="41" t="s">
        <v>224</v>
      </c>
      <c r="C7" s="41" t="s">
        <v>225</v>
      </c>
      <c r="D7" s="42">
        <v>46081.905555555553</v>
      </c>
      <c r="E7" s="42">
        <v>46081.923611111109</v>
      </c>
      <c r="F7">
        <v>1183</v>
      </c>
      <c r="G7">
        <v>1539</v>
      </c>
      <c r="H7">
        <v>3049.1590000000001</v>
      </c>
      <c r="I7" s="48">
        <f t="shared" si="1"/>
        <v>1.7812499999999998E-2</v>
      </c>
      <c r="J7" s="49">
        <f t="shared" si="2"/>
        <v>3.049159</v>
      </c>
      <c r="K7" s="49">
        <f t="shared" si="3"/>
        <v>9.0209268598503023</v>
      </c>
      <c r="L7" s="104"/>
      <c r="M7" s="50"/>
      <c r="N7" s="51"/>
    </row>
    <row r="8" spans="1:14" x14ac:dyDescent="0.25">
      <c r="A8" s="41" t="s">
        <v>480</v>
      </c>
      <c r="B8" s="41" t="s">
        <v>224</v>
      </c>
      <c r="C8" s="41" t="s">
        <v>225</v>
      </c>
      <c r="D8" s="42">
        <v>46061.466666666667</v>
      </c>
      <c r="E8" s="42">
        <v>46061.505555555559</v>
      </c>
      <c r="F8">
        <v>2998</v>
      </c>
      <c r="G8">
        <v>3362</v>
      </c>
      <c r="H8">
        <v>6280.1989999999996</v>
      </c>
      <c r="I8" s="43">
        <f t="shared" si="1"/>
        <v>3.8912037037037037E-2</v>
      </c>
      <c r="J8" s="44">
        <f t="shared" si="2"/>
        <v>6.2801989999999996</v>
      </c>
      <c r="K8" s="44">
        <f t="shared" si="0"/>
        <v>18.579948059220591</v>
      </c>
      <c r="L8" s="104"/>
      <c r="M8" s="50"/>
      <c r="N8" s="51"/>
    </row>
    <row r="9" spans="1:14" x14ac:dyDescent="0.25">
      <c r="A9" s="41" t="s">
        <v>481</v>
      </c>
      <c r="B9" s="41" t="s">
        <v>224</v>
      </c>
      <c r="C9" s="41" t="s">
        <v>225</v>
      </c>
      <c r="D9" s="42">
        <v>46054.522222222222</v>
      </c>
      <c r="E9" s="42">
        <v>46054.554166666669</v>
      </c>
      <c r="F9">
        <v>2460</v>
      </c>
      <c r="G9">
        <v>2779</v>
      </c>
      <c r="H9">
        <v>5948.6229999999996</v>
      </c>
      <c r="I9" s="48">
        <f t="shared" si="1"/>
        <v>3.2164351851851854E-2</v>
      </c>
      <c r="J9" s="49">
        <f t="shared" si="2"/>
        <v>5.9486229999999995</v>
      </c>
      <c r="K9" s="49">
        <f t="shared" si="3"/>
        <v>17.598981555183997</v>
      </c>
      <c r="L9" s="104"/>
      <c r="M9" s="50"/>
      <c r="N9" s="51"/>
    </row>
    <row r="10" spans="1:14" x14ac:dyDescent="0.25">
      <c r="A10" s="41" t="s">
        <v>482</v>
      </c>
      <c r="B10" s="41" t="s">
        <v>224</v>
      </c>
      <c r="C10" s="41" t="s">
        <v>225</v>
      </c>
      <c r="D10" s="42">
        <v>46053.629166666666</v>
      </c>
      <c r="E10" s="42">
        <v>46053.791666666664</v>
      </c>
      <c r="F10">
        <v>13564</v>
      </c>
      <c r="G10">
        <v>14009</v>
      </c>
      <c r="H10">
        <v>45611.101000000002</v>
      </c>
      <c r="I10" s="43">
        <f t="shared" si="1"/>
        <v>0.16214120370370369</v>
      </c>
      <c r="J10" s="44">
        <f t="shared" si="2"/>
        <v>45.611101000000005</v>
      </c>
      <c r="K10" s="44">
        <f t="shared" si="0"/>
        <v>134.94029209963961</v>
      </c>
      <c r="L10" s="104"/>
      <c r="M10" s="50"/>
      <c r="N10" s="51"/>
    </row>
    <row r="11" spans="1:14" x14ac:dyDescent="0.25">
      <c r="A11" s="41" t="s">
        <v>483</v>
      </c>
      <c r="B11" s="41" t="s">
        <v>224</v>
      </c>
      <c r="C11" s="41" t="s">
        <v>225</v>
      </c>
      <c r="D11" s="42">
        <v>46034.914583333331</v>
      </c>
      <c r="E11" s="42">
        <v>46034.945138888892</v>
      </c>
      <c r="F11">
        <v>2165</v>
      </c>
      <c r="G11">
        <v>2633</v>
      </c>
      <c r="H11">
        <v>9113.2530000000006</v>
      </c>
      <c r="I11" s="48">
        <f t="shared" si="1"/>
        <v>3.0474537037037036E-2</v>
      </c>
      <c r="J11" s="49">
        <f t="shared" si="2"/>
        <v>9.1132530000000003</v>
      </c>
      <c r="K11" s="49">
        <f t="shared" si="3"/>
        <v>26.961528988259172</v>
      </c>
      <c r="L11" s="104"/>
      <c r="M11" s="50"/>
      <c r="N11" s="51"/>
    </row>
    <row r="12" spans="1:14" x14ac:dyDescent="0.25">
      <c r="A12" s="41" t="s">
        <v>484</v>
      </c>
      <c r="B12" s="41" t="s">
        <v>224</v>
      </c>
      <c r="C12" s="41" t="s">
        <v>225</v>
      </c>
      <c r="D12" s="42">
        <v>46029.426388888889</v>
      </c>
      <c r="E12" s="42">
        <v>46029.455555555556</v>
      </c>
      <c r="F12">
        <v>2194</v>
      </c>
      <c r="G12">
        <v>2512</v>
      </c>
      <c r="H12">
        <v>6056.8810000000003</v>
      </c>
      <c r="I12" s="43">
        <f t="shared" si="1"/>
        <v>2.9074074074074075E-2</v>
      </c>
      <c r="J12" s="44">
        <f t="shared" si="2"/>
        <v>6.0568810000000006</v>
      </c>
      <c r="K12" s="44">
        <f t="shared" si="0"/>
        <v>17.919262491663094</v>
      </c>
      <c r="L12" s="104"/>
      <c r="M12" s="50"/>
      <c r="N12" s="51"/>
    </row>
    <row r="13" spans="1:14" x14ac:dyDescent="0.25">
      <c r="A13" s="41" t="s">
        <v>485</v>
      </c>
      <c r="B13" s="41" t="s">
        <v>224</v>
      </c>
      <c r="C13" s="41" t="s">
        <v>225</v>
      </c>
      <c r="D13" s="42">
        <v>46027.881249999999</v>
      </c>
      <c r="E13" s="42">
        <v>46027.930555555555</v>
      </c>
      <c r="F13">
        <v>3937</v>
      </c>
      <c r="G13">
        <v>4264</v>
      </c>
      <c r="H13">
        <v>9101.0439999999999</v>
      </c>
      <c r="I13" s="48">
        <f t="shared" si="1"/>
        <v>4.9351851851851855E-2</v>
      </c>
      <c r="J13" s="49">
        <f t="shared" si="2"/>
        <v>9.1010439999999999</v>
      </c>
      <c r="K13" s="49">
        <f t="shared" si="3"/>
        <v>26.925408701966482</v>
      </c>
      <c r="L13" s="104"/>
      <c r="M13" s="50"/>
      <c r="N13" s="51"/>
    </row>
    <row r="14" spans="1:14" x14ac:dyDescent="0.25">
      <c r="A14" s="41" t="s">
        <v>486</v>
      </c>
      <c r="B14" s="41" t="s">
        <v>224</v>
      </c>
      <c r="C14" s="41" t="s">
        <v>225</v>
      </c>
      <c r="D14" s="42">
        <v>46027.62777777778</v>
      </c>
      <c r="E14" s="42">
        <v>46027.645833333336</v>
      </c>
      <c r="F14">
        <v>1201</v>
      </c>
      <c r="G14">
        <v>1532</v>
      </c>
      <c r="H14">
        <v>3076.415</v>
      </c>
      <c r="I14" s="43">
        <f t="shared" si="1"/>
        <v>1.773148148148148E-2</v>
      </c>
      <c r="J14" s="44">
        <f t="shared" si="2"/>
        <v>3.0764149999999999</v>
      </c>
      <c r="K14" s="44">
        <f t="shared" si="0"/>
        <v>9.1015636460894189</v>
      </c>
      <c r="L14" s="104"/>
      <c r="M14" s="50"/>
      <c r="N14" s="51"/>
    </row>
    <row r="15" spans="1:14" x14ac:dyDescent="0.25">
      <c r="A15" s="41" t="s">
        <v>487</v>
      </c>
      <c r="B15" s="41" t="s">
        <v>224</v>
      </c>
      <c r="C15" s="41" t="s">
        <v>225</v>
      </c>
      <c r="D15" s="42">
        <v>46024.69027777778</v>
      </c>
      <c r="E15" s="42">
        <v>46024.776388888888</v>
      </c>
      <c r="F15">
        <v>7111</v>
      </c>
      <c r="G15">
        <v>7483</v>
      </c>
      <c r="H15">
        <v>22915.076000000001</v>
      </c>
      <c r="I15" s="48">
        <f t="shared" si="1"/>
        <v>8.6608796296296295E-2</v>
      </c>
      <c r="J15" s="49">
        <f t="shared" si="2"/>
        <v>22.915076000000003</v>
      </c>
      <c r="K15" s="49">
        <f t="shared" si="3"/>
        <v>67.794176880874701</v>
      </c>
      <c r="L15" s="104"/>
      <c r="M15" s="50"/>
      <c r="N15" s="51"/>
    </row>
    <row r="16" spans="1:14" x14ac:dyDescent="0.25">
      <c r="A16" s="41" t="s">
        <v>488</v>
      </c>
      <c r="B16" s="41" t="s">
        <v>224</v>
      </c>
      <c r="C16" s="41" t="s">
        <v>225</v>
      </c>
      <c r="D16" s="42">
        <v>46017.90902777778</v>
      </c>
      <c r="E16" s="42">
        <v>46017.948611111111</v>
      </c>
      <c r="F16">
        <v>3050</v>
      </c>
      <c r="G16">
        <v>3468</v>
      </c>
      <c r="H16">
        <v>8227.4619999999995</v>
      </c>
      <c r="I16" s="43">
        <f t="shared" si="1"/>
        <v>4.0138888888888891E-2</v>
      </c>
      <c r="J16" s="44">
        <f t="shared" si="2"/>
        <v>8.2274619999999992</v>
      </c>
      <c r="K16" s="44">
        <f t="shared" si="0"/>
        <v>24.340919231892361</v>
      </c>
      <c r="L16" s="104"/>
      <c r="M16" s="50"/>
      <c r="N16" s="51"/>
    </row>
    <row r="17" spans="1:14" x14ac:dyDescent="0.25">
      <c r="A17" s="41" t="s">
        <v>489</v>
      </c>
      <c r="B17" s="41" t="s">
        <v>224</v>
      </c>
      <c r="C17" s="41" t="s">
        <v>225</v>
      </c>
      <c r="D17" s="42">
        <v>46014.836805555555</v>
      </c>
      <c r="E17" s="42">
        <v>46014.929861111108</v>
      </c>
      <c r="F17">
        <v>7604</v>
      </c>
      <c r="G17">
        <v>8043</v>
      </c>
      <c r="H17">
        <v>20352.584999999999</v>
      </c>
      <c r="I17" s="48">
        <f t="shared" si="1"/>
        <v>9.3090277777777772E-2</v>
      </c>
      <c r="J17" s="49">
        <f t="shared" si="2"/>
        <v>20.352584999999998</v>
      </c>
      <c r="K17" s="49">
        <f t="shared" si="3"/>
        <v>60.213055696303911</v>
      </c>
      <c r="L17" s="104"/>
      <c r="M17" s="50"/>
      <c r="N17" s="51"/>
    </row>
    <row r="18" spans="1:14" x14ac:dyDescent="0.25">
      <c r="A18" s="41" t="s">
        <v>490</v>
      </c>
      <c r="B18" s="41" t="s">
        <v>224</v>
      </c>
      <c r="C18" s="41" t="s">
        <v>225</v>
      </c>
      <c r="D18" s="42">
        <v>46012.847916666666</v>
      </c>
      <c r="E18" s="42">
        <v>46012.875</v>
      </c>
      <c r="F18">
        <v>1948</v>
      </c>
      <c r="G18">
        <v>2341</v>
      </c>
      <c r="H18">
        <v>3659.9409999999998</v>
      </c>
      <c r="I18" s="43">
        <f t="shared" si="1"/>
        <v>2.7094907407407408E-2</v>
      </c>
      <c r="J18" s="44">
        <f t="shared" si="2"/>
        <v>3.6599409999999999</v>
      </c>
      <c r="K18" s="44">
        <f t="shared" si="0"/>
        <v>10.827923395391114</v>
      </c>
      <c r="L18" s="104"/>
      <c r="M18" s="50"/>
      <c r="N18" s="51"/>
    </row>
    <row r="19" spans="1:14" x14ac:dyDescent="0.25">
      <c r="A19" s="41" t="s">
        <v>491</v>
      </c>
      <c r="B19" s="41" t="s">
        <v>224</v>
      </c>
      <c r="C19" s="41" t="s">
        <v>225</v>
      </c>
      <c r="D19" s="42">
        <v>46012.722916666666</v>
      </c>
      <c r="E19" s="42">
        <v>46012.749305555553</v>
      </c>
      <c r="F19">
        <v>1931</v>
      </c>
      <c r="G19">
        <v>2289</v>
      </c>
      <c r="H19">
        <v>4098.5770000000002</v>
      </c>
      <c r="I19" s="48">
        <f t="shared" si="1"/>
        <v>2.6493055555555554E-2</v>
      </c>
      <c r="J19" s="49">
        <f t="shared" si="2"/>
        <v>4.0985770000000006</v>
      </c>
      <c r="K19" s="49">
        <f t="shared" si="3"/>
        <v>12.125626556852128</v>
      </c>
      <c r="L19" s="104"/>
      <c r="M19" s="50"/>
      <c r="N19" s="51"/>
    </row>
    <row r="20" spans="1:14" x14ac:dyDescent="0.25">
      <c r="A20" s="41" t="s">
        <v>492</v>
      </c>
      <c r="B20" s="41" t="s">
        <v>224</v>
      </c>
      <c r="C20" s="41" t="s">
        <v>225</v>
      </c>
      <c r="D20" s="42">
        <v>46008.795138888891</v>
      </c>
      <c r="E20" s="42">
        <v>46008.822222222225</v>
      </c>
      <c r="F20">
        <v>2001</v>
      </c>
      <c r="G20">
        <v>2370</v>
      </c>
      <c r="H20">
        <v>5067.3950000000004</v>
      </c>
      <c r="I20" s="43">
        <f t="shared" si="1"/>
        <v>2.7430555555555555E-2</v>
      </c>
      <c r="J20" s="44">
        <f t="shared" si="2"/>
        <v>5.0673950000000003</v>
      </c>
      <c r="K20" s="44">
        <f t="shared" si="0"/>
        <v>14.991871419290081</v>
      </c>
      <c r="L20" s="104"/>
      <c r="M20" s="50"/>
      <c r="N20" s="51"/>
    </row>
    <row r="21" spans="1:14" x14ac:dyDescent="0.25">
      <c r="A21" s="41" t="s">
        <v>493</v>
      </c>
      <c r="B21" s="41" t="s">
        <v>224</v>
      </c>
      <c r="C21" s="41" t="s">
        <v>225</v>
      </c>
      <c r="D21" s="42">
        <v>46004.879861111112</v>
      </c>
      <c r="E21" s="42">
        <v>46004.911805555559</v>
      </c>
      <c r="F21">
        <v>2372</v>
      </c>
      <c r="G21">
        <v>2778</v>
      </c>
      <c r="H21">
        <v>8290.2330000000002</v>
      </c>
      <c r="I21" s="48">
        <f t="shared" si="1"/>
        <v>3.215277777777778E-2</v>
      </c>
      <c r="J21" s="49">
        <f t="shared" si="2"/>
        <v>8.2902330000000006</v>
      </c>
      <c r="K21" s="49">
        <f t="shared" si="3"/>
        <v>24.526627028671623</v>
      </c>
      <c r="L21" s="104"/>
      <c r="M21" s="50"/>
      <c r="N21" s="51"/>
    </row>
    <row r="22" spans="1:14" x14ac:dyDescent="0.25">
      <c r="A22" s="41" t="s">
        <v>494</v>
      </c>
      <c r="B22" s="41" t="s">
        <v>224</v>
      </c>
      <c r="C22" s="41" t="s">
        <v>225</v>
      </c>
      <c r="D22" s="42">
        <v>45998.770833333336</v>
      </c>
      <c r="E22" s="42">
        <v>45998.829861111109</v>
      </c>
      <c r="F22">
        <v>4727</v>
      </c>
      <c r="G22">
        <v>5144</v>
      </c>
      <c r="H22">
        <v>19927.249</v>
      </c>
      <c r="I22" s="43">
        <f t="shared" si="1"/>
        <v>5.9537037037037034E-2</v>
      </c>
      <c r="J22" s="44">
        <f t="shared" si="2"/>
        <v>19.927249</v>
      </c>
      <c r="K22" s="44">
        <f t="shared" si="0"/>
        <v>58.954700541042648</v>
      </c>
      <c r="L22" s="104"/>
      <c r="M22" s="50"/>
      <c r="N22" s="51"/>
    </row>
    <row r="23" spans="1:14" x14ac:dyDescent="0.25">
      <c r="A23" s="41" t="s">
        <v>495</v>
      </c>
      <c r="B23" s="41" t="s">
        <v>224</v>
      </c>
      <c r="C23" s="41" t="s">
        <v>225</v>
      </c>
      <c r="D23" s="42">
        <v>45998.543749999997</v>
      </c>
      <c r="E23" s="42">
        <v>45998.757638888892</v>
      </c>
      <c r="F23">
        <v>18148</v>
      </c>
      <c r="G23">
        <v>18487</v>
      </c>
      <c r="H23">
        <v>30616.468000000001</v>
      </c>
      <c r="I23" s="48">
        <f t="shared" si="1"/>
        <v>0.2139699074074074</v>
      </c>
      <c r="J23" s="49">
        <f t="shared" si="2"/>
        <v>30.616468000000001</v>
      </c>
      <c r="K23" s="49">
        <f t="shared" si="3"/>
        <v>90.578719750248254</v>
      </c>
      <c r="L23" s="104"/>
      <c r="M23" s="50"/>
      <c r="N23" s="51"/>
    </row>
    <row r="24" spans="1:14" x14ac:dyDescent="0.25">
      <c r="A24" s="41" t="s">
        <v>496</v>
      </c>
      <c r="B24" s="41" t="s">
        <v>224</v>
      </c>
      <c r="C24" s="41" t="s">
        <v>225</v>
      </c>
      <c r="D24" s="42">
        <v>45998.507638888892</v>
      </c>
      <c r="E24" s="42">
        <v>45998.531944444447</v>
      </c>
      <c r="F24">
        <v>1666</v>
      </c>
      <c r="G24">
        <v>2098</v>
      </c>
      <c r="H24">
        <v>2961.0720000000001</v>
      </c>
      <c r="I24" s="43">
        <f t="shared" si="1"/>
        <v>2.4282407407407409E-2</v>
      </c>
      <c r="J24" s="44">
        <f t="shared" si="2"/>
        <v>2.9610720000000001</v>
      </c>
      <c r="K24" s="44">
        <f t="shared" si="0"/>
        <v>8.7603217604430128</v>
      </c>
      <c r="L24" s="104"/>
      <c r="M24" s="50"/>
      <c r="N24" s="51"/>
    </row>
    <row r="25" spans="1:14" x14ac:dyDescent="0.25">
      <c r="A25" s="41" t="s">
        <v>497</v>
      </c>
      <c r="B25" s="41" t="s">
        <v>224</v>
      </c>
      <c r="C25" s="41" t="s">
        <v>228</v>
      </c>
      <c r="D25" s="42">
        <v>45997.943055555559</v>
      </c>
      <c r="E25" s="42">
        <v>45997.951388888891</v>
      </c>
      <c r="F25">
        <v>0</v>
      </c>
      <c r="G25">
        <v>706</v>
      </c>
      <c r="H25">
        <v>29.5</v>
      </c>
      <c r="I25" s="48">
        <f t="shared" si="1"/>
        <v>8.1712962962962963E-3</v>
      </c>
      <c r="J25" s="49">
        <f t="shared" si="2"/>
        <v>2.9499999999999998E-2</v>
      </c>
      <c r="K25" s="49">
        <f t="shared" si="3"/>
        <v>8.7275652849058999E-2</v>
      </c>
      <c r="L25" s="104"/>
      <c r="M25" s="50"/>
      <c r="N25" s="51"/>
    </row>
    <row r="26" spans="1:14" x14ac:dyDescent="0.25">
      <c r="A26" s="41" t="s">
        <v>498</v>
      </c>
      <c r="B26" s="41" t="s">
        <v>224</v>
      </c>
      <c r="C26" s="41" t="s">
        <v>225</v>
      </c>
      <c r="D26" s="42">
        <v>45997.833333333336</v>
      </c>
      <c r="E26" s="42">
        <v>45997.932638888888</v>
      </c>
      <c r="F26">
        <v>8222</v>
      </c>
      <c r="G26">
        <v>8593</v>
      </c>
      <c r="H26">
        <v>27460.177</v>
      </c>
      <c r="I26" s="43">
        <f t="shared" si="1"/>
        <v>9.9456018518518513E-2</v>
      </c>
      <c r="J26" s="44">
        <f t="shared" si="2"/>
        <v>27.460176999999998</v>
      </c>
      <c r="K26" s="44">
        <f t="shared" si="0"/>
        <v>81.240843221210653</v>
      </c>
      <c r="L26" s="104"/>
      <c r="M26" s="50"/>
      <c r="N26" s="51"/>
    </row>
    <row r="27" spans="1:14" x14ac:dyDescent="0.25">
      <c r="A27" s="41" t="s">
        <v>499</v>
      </c>
      <c r="B27" s="41" t="s">
        <v>224</v>
      </c>
      <c r="C27" s="41" t="s">
        <v>228</v>
      </c>
      <c r="D27" s="42">
        <v>45997.820833333331</v>
      </c>
      <c r="E27" s="42">
        <v>45997.829861111109</v>
      </c>
      <c r="F27">
        <v>411</v>
      </c>
      <c r="G27">
        <v>790</v>
      </c>
      <c r="H27">
        <v>800.69799999999998</v>
      </c>
      <c r="I27" s="48">
        <f t="shared" si="1"/>
        <v>9.1435185185185178E-3</v>
      </c>
      <c r="J27" s="49">
        <f t="shared" si="2"/>
        <v>0.80069800000000002</v>
      </c>
      <c r="K27" s="49">
        <f t="shared" si="3"/>
        <v>2.3688623960995199</v>
      </c>
      <c r="L27" s="104"/>
      <c r="M27" s="50"/>
      <c r="N27" s="51"/>
    </row>
    <row r="28" spans="1:14" x14ac:dyDescent="0.25">
      <c r="A28" s="41" t="s">
        <v>500</v>
      </c>
      <c r="B28" s="41" t="s">
        <v>224</v>
      </c>
      <c r="C28" s="41" t="s">
        <v>225</v>
      </c>
      <c r="D28" s="42">
        <v>45991.790972222225</v>
      </c>
      <c r="E28" s="42">
        <v>45991.978472222225</v>
      </c>
      <c r="F28">
        <v>15828</v>
      </c>
      <c r="G28">
        <v>16198</v>
      </c>
      <c r="H28">
        <v>36074.781999999999</v>
      </c>
      <c r="I28" s="43">
        <f t="shared" si="1"/>
        <v>0.18747685185185184</v>
      </c>
      <c r="J28" s="44">
        <f t="shared" si="2"/>
        <v>36.074781999999999</v>
      </c>
      <c r="K28" s="44">
        <f t="shared" si="0"/>
        <v>106.72712374364347</v>
      </c>
      <c r="L28" s="104"/>
      <c r="M28" s="50"/>
      <c r="N28" s="51"/>
    </row>
    <row r="29" spans="1:14" x14ac:dyDescent="0.25">
      <c r="A29" s="41" t="s">
        <v>501</v>
      </c>
      <c r="B29" s="41" t="s">
        <v>224</v>
      </c>
      <c r="C29" s="41" t="s">
        <v>225</v>
      </c>
      <c r="D29" s="42">
        <v>45991.669444444444</v>
      </c>
      <c r="E29" s="42">
        <v>45991.723611111112</v>
      </c>
      <c r="F29">
        <v>4277</v>
      </c>
      <c r="G29">
        <v>4649</v>
      </c>
      <c r="H29">
        <v>10781.686</v>
      </c>
      <c r="I29" s="48">
        <f t="shared" si="1"/>
        <v>5.3807870370370367E-2</v>
      </c>
      <c r="J29" s="49">
        <f t="shared" si="2"/>
        <v>10.781686000000001</v>
      </c>
      <c r="K29" s="49">
        <f t="shared" si="3"/>
        <v>31.897582524188458</v>
      </c>
      <c r="L29" s="104"/>
      <c r="M29" s="50"/>
      <c r="N29" s="51"/>
    </row>
    <row r="30" spans="1:14" x14ac:dyDescent="0.25">
      <c r="A30" s="41" t="s">
        <v>502</v>
      </c>
      <c r="B30" s="41" t="s">
        <v>224</v>
      </c>
      <c r="C30" s="41" t="s">
        <v>225</v>
      </c>
      <c r="D30" s="42">
        <v>45990.724305555559</v>
      </c>
      <c r="E30" s="42">
        <v>45990.865972222222</v>
      </c>
      <c r="F30">
        <v>11819</v>
      </c>
      <c r="G30">
        <v>12263</v>
      </c>
      <c r="H30">
        <v>41506.455000000002</v>
      </c>
      <c r="I30" s="43">
        <f t="shared" si="1"/>
        <v>0.14193287037037036</v>
      </c>
      <c r="J30" s="44">
        <f t="shared" si="2"/>
        <v>41.506455000000003</v>
      </c>
      <c r="K30" s="44">
        <f t="shared" si="0"/>
        <v>122.79671042627422</v>
      </c>
      <c r="L30" s="104"/>
      <c r="M30" s="50"/>
      <c r="N30" s="51"/>
    </row>
    <row r="31" spans="1:14" x14ac:dyDescent="0.25">
      <c r="A31" s="41" t="s">
        <v>503</v>
      </c>
      <c r="B31" s="41" t="s">
        <v>224</v>
      </c>
      <c r="C31" s="41" t="s">
        <v>225</v>
      </c>
      <c r="D31" s="42">
        <v>45990.670138888891</v>
      </c>
      <c r="E31" s="42">
        <v>45990.701388888891</v>
      </c>
      <c r="F31">
        <v>2322</v>
      </c>
      <c r="G31">
        <v>2693</v>
      </c>
      <c r="H31">
        <v>6902.0730000000003</v>
      </c>
      <c r="I31" s="48">
        <f t="shared" si="1"/>
        <v>3.1168981481481482E-2</v>
      </c>
      <c r="J31" s="49">
        <f t="shared" si="2"/>
        <v>6.9020730000000006</v>
      </c>
      <c r="K31" s="49">
        <f t="shared" si="3"/>
        <v>20.419760240232652</v>
      </c>
      <c r="L31" s="104"/>
      <c r="M31" s="50"/>
      <c r="N31" s="51"/>
    </row>
    <row r="32" spans="1:14" x14ac:dyDescent="0.25">
      <c r="A32" s="41" t="s">
        <v>504</v>
      </c>
      <c r="B32" s="41" t="s">
        <v>224</v>
      </c>
      <c r="C32" s="41" t="s">
        <v>225</v>
      </c>
      <c r="D32" s="42">
        <v>45988.853472222225</v>
      </c>
      <c r="E32" s="42">
        <v>45988.87222222222</v>
      </c>
      <c r="F32">
        <v>1267</v>
      </c>
      <c r="G32">
        <v>1597</v>
      </c>
      <c r="H32">
        <v>4288.4129999999996</v>
      </c>
      <c r="I32" s="43">
        <f t="shared" si="1"/>
        <v>1.8483796296296297E-2</v>
      </c>
      <c r="J32" s="44">
        <f t="shared" si="2"/>
        <v>4.2884129999999994</v>
      </c>
      <c r="K32" s="44">
        <f t="shared" si="0"/>
        <v>12.687255737674292</v>
      </c>
      <c r="L32" s="104"/>
      <c r="M32" s="50"/>
      <c r="N32" s="51"/>
    </row>
    <row r="33" spans="1:14" x14ac:dyDescent="0.25">
      <c r="A33" s="41" t="s">
        <v>505</v>
      </c>
      <c r="B33" s="41" t="s">
        <v>224</v>
      </c>
      <c r="C33" s="41" t="s">
        <v>225</v>
      </c>
      <c r="D33" s="42">
        <v>45984.815972222219</v>
      </c>
      <c r="E33" s="42">
        <v>45984.875694444447</v>
      </c>
      <c r="F33">
        <v>4701</v>
      </c>
      <c r="G33">
        <v>5123</v>
      </c>
      <c r="H33">
        <v>12571.615</v>
      </c>
      <c r="I33" s="48">
        <f t="shared" si="1"/>
        <v>5.9293981481481482E-2</v>
      </c>
      <c r="J33" s="49">
        <f t="shared" si="2"/>
        <v>12.571615</v>
      </c>
      <c r="K33" s="49">
        <f t="shared" si="3"/>
        <v>37.193081576000779</v>
      </c>
      <c r="L33" s="104"/>
      <c r="M33" s="50"/>
      <c r="N33" s="51"/>
    </row>
    <row r="34" spans="1:14" x14ac:dyDescent="0.25">
      <c r="A34" s="41" t="s">
        <v>506</v>
      </c>
      <c r="B34" s="41" t="s">
        <v>224</v>
      </c>
      <c r="C34" s="41" t="s">
        <v>225</v>
      </c>
      <c r="D34" s="42">
        <v>45984.718055555553</v>
      </c>
      <c r="E34" s="42">
        <v>45984.753472222219</v>
      </c>
      <c r="F34">
        <v>2687</v>
      </c>
      <c r="G34">
        <v>3056</v>
      </c>
      <c r="H34">
        <v>8413.3739999999998</v>
      </c>
      <c r="I34" s="43">
        <f t="shared" si="1"/>
        <v>3.5370370370370371E-2</v>
      </c>
      <c r="J34" s="44">
        <f t="shared" si="2"/>
        <v>8.4133739999999992</v>
      </c>
      <c r="K34" s="44">
        <f t="shared" si="0"/>
        <v>24.890939271637251</v>
      </c>
      <c r="L34" s="104"/>
      <c r="M34" s="50"/>
      <c r="N34" s="51"/>
    </row>
    <row r="35" spans="1:14" x14ac:dyDescent="0.25">
      <c r="A35" s="41" t="s">
        <v>506</v>
      </c>
      <c r="B35" s="41" t="s">
        <v>224</v>
      </c>
      <c r="C35" s="41" t="s">
        <v>225</v>
      </c>
      <c r="D35" s="42">
        <v>45983.67083333333</v>
      </c>
      <c r="E35" s="42">
        <v>45983.707638888889</v>
      </c>
      <c r="F35">
        <v>2801</v>
      </c>
      <c r="G35">
        <v>3179</v>
      </c>
      <c r="H35">
        <v>8413.3739999999998</v>
      </c>
      <c r="I35" s="48">
        <f t="shared" si="1"/>
        <v>3.6793981481481483E-2</v>
      </c>
      <c r="J35" s="49">
        <f t="shared" si="2"/>
        <v>8.4133739999999992</v>
      </c>
      <c r="K35" s="49">
        <f t="shared" si="3"/>
        <v>24.890939271637251</v>
      </c>
      <c r="L35" s="104"/>
      <c r="M35" s="50"/>
      <c r="N35" s="51"/>
    </row>
    <row r="36" spans="1:14" x14ac:dyDescent="0.25">
      <c r="A36" s="41" t="s">
        <v>507</v>
      </c>
      <c r="B36" s="41" t="s">
        <v>224</v>
      </c>
      <c r="C36" s="41" t="s">
        <v>225</v>
      </c>
      <c r="D36" s="42">
        <v>45983.636805555558</v>
      </c>
      <c r="E36" s="42">
        <v>45983.668749999997</v>
      </c>
      <c r="F36">
        <v>2329</v>
      </c>
      <c r="G36">
        <v>2709</v>
      </c>
      <c r="H36">
        <v>7242.7070000000003</v>
      </c>
      <c r="I36" s="43">
        <f t="shared" si="1"/>
        <v>3.1354166666666669E-2</v>
      </c>
      <c r="J36" s="44">
        <f t="shared" si="2"/>
        <v>7.2427070000000002</v>
      </c>
      <c r="K36" s="44">
        <f t="shared" si="0"/>
        <v>21.427524807438971</v>
      </c>
      <c r="L36" s="104"/>
      <c r="M36" s="50"/>
      <c r="N36" s="51"/>
    </row>
    <row r="37" spans="1:14" x14ac:dyDescent="0.25">
      <c r="A37" s="41" t="s">
        <v>508</v>
      </c>
      <c r="B37" s="41" t="s">
        <v>224</v>
      </c>
      <c r="C37" s="41" t="s">
        <v>225</v>
      </c>
      <c r="D37" s="42">
        <v>45983.572916666664</v>
      </c>
      <c r="E37" s="42">
        <v>45983.604861111111</v>
      </c>
      <c r="F37">
        <v>2374</v>
      </c>
      <c r="G37">
        <v>2746</v>
      </c>
      <c r="H37">
        <v>8607.7360000000008</v>
      </c>
      <c r="I37" s="48">
        <f t="shared" si="1"/>
        <v>3.1782407407407405E-2</v>
      </c>
      <c r="J37" s="49">
        <f t="shared" si="2"/>
        <v>8.6077360000000009</v>
      </c>
      <c r="K37" s="49">
        <f t="shared" si="3"/>
        <v>25.465958608554164</v>
      </c>
      <c r="L37" s="104"/>
      <c r="M37" s="50"/>
      <c r="N37" s="51"/>
    </row>
    <row r="38" spans="1:14" x14ac:dyDescent="0.25">
      <c r="A38" s="41" t="s">
        <v>417</v>
      </c>
      <c r="B38" s="41" t="s">
        <v>224</v>
      </c>
      <c r="C38" s="41" t="s">
        <v>225</v>
      </c>
      <c r="D38" s="42">
        <v>45963.636111111111</v>
      </c>
      <c r="E38" s="42">
        <v>45963.654861111114</v>
      </c>
      <c r="F38">
        <v>1281</v>
      </c>
      <c r="G38">
        <v>1617</v>
      </c>
      <c r="H38">
        <v>2402.6999999999998</v>
      </c>
      <c r="I38" s="43">
        <f t="shared" si="1"/>
        <v>1.8715277777777779E-2</v>
      </c>
      <c r="J38" s="44">
        <f t="shared" si="2"/>
        <v>2.4026999999999998</v>
      </c>
      <c r="K38" s="44">
        <f t="shared" si="0"/>
        <v>7.1083800373028492</v>
      </c>
      <c r="L38" s="104"/>
      <c r="M38" s="50"/>
      <c r="N38" s="51"/>
    </row>
    <row r="39" spans="1:14" x14ac:dyDescent="0.25">
      <c r="A39" s="41" t="s">
        <v>417</v>
      </c>
      <c r="B39" s="41" t="s">
        <v>224</v>
      </c>
      <c r="C39" s="41" t="s">
        <v>228</v>
      </c>
      <c r="D39" s="42">
        <v>45963.625</v>
      </c>
      <c r="E39" s="42">
        <v>45963.633333333331</v>
      </c>
      <c r="F39">
        <v>388</v>
      </c>
      <c r="G39">
        <v>740</v>
      </c>
      <c r="H39">
        <v>690.58500000000004</v>
      </c>
      <c r="I39" s="48">
        <f t="shared" si="1"/>
        <v>8.564814814814815E-3</v>
      </c>
      <c r="J39" s="49">
        <f t="shared" si="2"/>
        <v>0.690585</v>
      </c>
      <c r="K39" s="49">
        <f t="shared" si="3"/>
        <v>2.0430934482294036</v>
      </c>
      <c r="L39" s="104"/>
      <c r="M39" s="50"/>
      <c r="N39" s="51"/>
    </row>
    <row r="40" spans="1:14" x14ac:dyDescent="0.25">
      <c r="A40" s="41" t="s">
        <v>417</v>
      </c>
      <c r="B40" s="41" t="s">
        <v>224</v>
      </c>
      <c r="C40" s="41" t="s">
        <v>228</v>
      </c>
      <c r="D40" s="42">
        <v>45963.617361111108</v>
      </c>
      <c r="E40" s="42">
        <v>45963.62222222222</v>
      </c>
      <c r="F40">
        <v>90</v>
      </c>
      <c r="G40">
        <v>425</v>
      </c>
      <c r="H40">
        <v>77.611999999999995</v>
      </c>
      <c r="I40" s="43">
        <f t="shared" si="1"/>
        <v>4.9189814814814816E-3</v>
      </c>
      <c r="J40" s="44">
        <f t="shared" si="2"/>
        <v>7.7612E-2</v>
      </c>
      <c r="K40" s="44">
        <f t="shared" si="0"/>
        <v>0.22961484640410734</v>
      </c>
      <c r="L40" s="104"/>
      <c r="M40" s="50"/>
      <c r="N40" s="51"/>
    </row>
    <row r="41" spans="1:14" x14ac:dyDescent="0.25">
      <c r="A41" s="41" t="s">
        <v>418</v>
      </c>
      <c r="B41" s="41" t="s">
        <v>224</v>
      </c>
      <c r="C41" s="41" t="s">
        <v>225</v>
      </c>
      <c r="D41" s="42">
        <v>45963.593055555553</v>
      </c>
      <c r="E41" s="42">
        <v>45963.602083333331</v>
      </c>
      <c r="F41">
        <v>486</v>
      </c>
      <c r="G41">
        <v>814</v>
      </c>
      <c r="H41">
        <v>507.12200000000001</v>
      </c>
      <c r="I41" s="48">
        <f t="shared" si="1"/>
        <v>9.4212962962962957E-3</v>
      </c>
      <c r="J41" s="49">
        <f t="shared" si="2"/>
        <v>0.50712199999999996</v>
      </c>
      <c r="K41" s="49">
        <f t="shared" si="3"/>
        <v>1.500318766919339</v>
      </c>
      <c r="L41" s="104"/>
      <c r="M41" s="50"/>
      <c r="N41" s="51"/>
    </row>
    <row r="42" spans="1:14" x14ac:dyDescent="0.25">
      <c r="A42" s="41" t="s">
        <v>419</v>
      </c>
      <c r="B42" s="41" t="s">
        <v>224</v>
      </c>
      <c r="C42" s="41" t="s">
        <v>225</v>
      </c>
      <c r="D42" s="42">
        <v>45943.797222222223</v>
      </c>
      <c r="E42" s="42">
        <v>45943.957638888889</v>
      </c>
      <c r="F42">
        <v>13486</v>
      </c>
      <c r="G42">
        <v>13854</v>
      </c>
      <c r="H42">
        <v>30327.200000000001</v>
      </c>
      <c r="I42" s="43">
        <f t="shared" si="1"/>
        <v>0.16034722222222222</v>
      </c>
      <c r="J42" s="44">
        <f t="shared" si="2"/>
        <v>30.327200000000001</v>
      </c>
      <c r="K42" s="44">
        <f t="shared" si="0"/>
        <v>89.722921324880744</v>
      </c>
      <c r="L42" s="104"/>
      <c r="M42" s="50"/>
      <c r="N42" s="51"/>
    </row>
    <row r="43" spans="1:14" x14ac:dyDescent="0.25">
      <c r="A43" s="41" t="s">
        <v>420</v>
      </c>
      <c r="B43" s="41" t="s">
        <v>224</v>
      </c>
      <c r="C43" s="41" t="s">
        <v>225</v>
      </c>
      <c r="D43" s="42">
        <v>45942.840277777781</v>
      </c>
      <c r="E43" s="42">
        <v>45942.895138888889</v>
      </c>
      <c r="F43">
        <v>4397</v>
      </c>
      <c r="G43">
        <v>4732</v>
      </c>
      <c r="H43">
        <v>8880.9130000000005</v>
      </c>
      <c r="I43" s="48">
        <f t="shared" si="1"/>
        <v>5.4768518518518522E-2</v>
      </c>
      <c r="J43" s="49">
        <f t="shared" si="2"/>
        <v>8.8809129999999996</v>
      </c>
      <c r="K43" s="49">
        <f t="shared" si="3"/>
        <v>26.274151863413397</v>
      </c>
      <c r="L43" s="104"/>
      <c r="M43" s="50"/>
      <c r="N43" s="51"/>
    </row>
    <row r="44" spans="1:14" x14ac:dyDescent="0.25">
      <c r="A44" s="41" t="s">
        <v>421</v>
      </c>
      <c r="B44" s="41" t="s">
        <v>224</v>
      </c>
      <c r="C44" s="41" t="s">
        <v>225</v>
      </c>
      <c r="D44" s="42">
        <v>45913.55</v>
      </c>
      <c r="E44" s="42">
        <v>45913.594444444447</v>
      </c>
      <c r="F44">
        <v>3467</v>
      </c>
      <c r="G44">
        <v>3830</v>
      </c>
      <c r="H44">
        <v>2995.1260000000002</v>
      </c>
      <c r="I44" s="43">
        <f t="shared" si="1"/>
        <v>4.4328703703703703E-2</v>
      </c>
      <c r="J44" s="44">
        <f t="shared" si="2"/>
        <v>2.9951260000000004</v>
      </c>
      <c r="K44" s="44">
        <f t="shared" si="0"/>
        <v>8.8610704072946014</v>
      </c>
      <c r="L44" s="104"/>
      <c r="M44" s="50"/>
      <c r="N44" s="51"/>
    </row>
    <row r="45" spans="1:14" x14ac:dyDescent="0.25">
      <c r="A45" s="41" t="s">
        <v>421</v>
      </c>
      <c r="B45" s="41" t="s">
        <v>224</v>
      </c>
      <c r="C45" s="41" t="s">
        <v>228</v>
      </c>
      <c r="D45" s="42">
        <v>45913.538888888892</v>
      </c>
      <c r="E45" s="42">
        <v>45913.546527777777</v>
      </c>
      <c r="F45">
        <v>369</v>
      </c>
      <c r="G45">
        <v>705</v>
      </c>
      <c r="H45">
        <v>625.03499999999997</v>
      </c>
      <c r="I45" s="48">
        <f t="shared" si="1"/>
        <v>8.1597222222222227E-3</v>
      </c>
      <c r="J45" s="49">
        <f t="shared" si="2"/>
        <v>0.62503500000000001</v>
      </c>
      <c r="K45" s="49">
        <f t="shared" si="3"/>
        <v>1.8491639891020877</v>
      </c>
      <c r="L45" s="104"/>
      <c r="M45" s="50"/>
      <c r="N45" s="51"/>
    </row>
    <row r="46" spans="1:14" x14ac:dyDescent="0.25">
      <c r="A46" s="41" t="s">
        <v>422</v>
      </c>
      <c r="B46" s="41" t="s">
        <v>224</v>
      </c>
      <c r="C46" s="41" t="s">
        <v>225</v>
      </c>
      <c r="D46" s="42">
        <v>45886.788888888892</v>
      </c>
      <c r="E46" s="42">
        <v>45886.925000000003</v>
      </c>
      <c r="F46">
        <v>11404</v>
      </c>
      <c r="G46">
        <v>11732</v>
      </c>
      <c r="H46">
        <v>20002.973999999998</v>
      </c>
      <c r="I46" s="43">
        <f t="shared" si="1"/>
        <v>0.13578703703703704</v>
      </c>
      <c r="J46" s="44">
        <f t="shared" si="2"/>
        <v>20.002973999999998</v>
      </c>
      <c r="K46" s="44">
        <f t="shared" si="0"/>
        <v>59.178732704161121</v>
      </c>
      <c r="L46" s="104"/>
      <c r="M46" s="50"/>
      <c r="N46" s="51"/>
    </row>
    <row r="47" spans="1:14" x14ac:dyDescent="0.25">
      <c r="A47" s="41" t="s">
        <v>423</v>
      </c>
      <c r="B47" s="41" t="s">
        <v>224</v>
      </c>
      <c r="C47" s="41" t="s">
        <v>225</v>
      </c>
      <c r="D47" s="42">
        <v>45886.729166666664</v>
      </c>
      <c r="E47" s="42">
        <v>45886.77847222222</v>
      </c>
      <c r="F47">
        <v>3773</v>
      </c>
      <c r="G47">
        <v>4223</v>
      </c>
      <c r="H47">
        <v>12579.891</v>
      </c>
      <c r="I47" s="48">
        <f t="shared" si="1"/>
        <v>4.8877314814814818E-2</v>
      </c>
      <c r="J47" s="49">
        <f t="shared" si="2"/>
        <v>12.579891</v>
      </c>
      <c r="K47" s="49">
        <f t="shared" si="3"/>
        <v>37.21756609474582</v>
      </c>
      <c r="L47" s="104"/>
      <c r="M47" s="50"/>
      <c r="N47" s="51"/>
    </row>
    <row r="48" spans="1:14" x14ac:dyDescent="0.25">
      <c r="A48" s="41" t="s">
        <v>424</v>
      </c>
      <c r="B48" s="41" t="s">
        <v>224</v>
      </c>
      <c r="C48" s="41" t="s">
        <v>225</v>
      </c>
      <c r="D48" s="42">
        <v>45886.713888888888</v>
      </c>
      <c r="E48" s="42">
        <v>45886.722916666666</v>
      </c>
      <c r="F48">
        <v>351</v>
      </c>
      <c r="G48">
        <v>799</v>
      </c>
      <c r="H48">
        <v>609.07600000000002</v>
      </c>
      <c r="I48" s="43">
        <f t="shared" si="1"/>
        <v>9.2476851851851852E-3</v>
      </c>
      <c r="J48" s="44">
        <f t="shared" si="2"/>
        <v>0.60907600000000006</v>
      </c>
      <c r="K48" s="44">
        <f t="shared" si="0"/>
        <v>1.8019493401591005</v>
      </c>
      <c r="L48" s="104"/>
      <c r="M48" s="50"/>
      <c r="N48" s="51"/>
    </row>
    <row r="49" spans="1:14" x14ac:dyDescent="0.25">
      <c r="A49" s="41" t="s">
        <v>425</v>
      </c>
      <c r="B49" s="41" t="s">
        <v>224</v>
      </c>
      <c r="C49" s="41" t="s">
        <v>225</v>
      </c>
      <c r="D49" s="42">
        <v>45879.420138888891</v>
      </c>
      <c r="E49" s="42">
        <v>45879.46597222222</v>
      </c>
      <c r="F49">
        <v>3645</v>
      </c>
      <c r="G49">
        <v>3965</v>
      </c>
      <c r="H49">
        <v>7682.5640000000003</v>
      </c>
      <c r="I49" s="48">
        <f t="shared" si="1"/>
        <v>4.5891203703703705E-2</v>
      </c>
      <c r="J49" s="49">
        <f t="shared" si="2"/>
        <v>7.6825640000000002</v>
      </c>
      <c r="K49" s="49">
        <f t="shared" si="3"/>
        <v>22.728840293378923</v>
      </c>
      <c r="L49" s="104"/>
      <c r="M49" s="50"/>
      <c r="N49" s="51"/>
    </row>
    <row r="50" spans="1:14" x14ac:dyDescent="0.25">
      <c r="A50" s="41" t="s">
        <v>426</v>
      </c>
      <c r="B50" s="41" t="s">
        <v>224</v>
      </c>
      <c r="C50" s="41" t="s">
        <v>225</v>
      </c>
      <c r="D50" s="42">
        <v>45858.557638888888</v>
      </c>
      <c r="E50" s="42">
        <v>45858.663888888892</v>
      </c>
      <c r="F50">
        <v>8796</v>
      </c>
      <c r="G50">
        <v>9204</v>
      </c>
      <c r="H50">
        <v>32092.755000000001</v>
      </c>
      <c r="I50" s="43">
        <f t="shared" si="1"/>
        <v>0.10652777777777778</v>
      </c>
      <c r="J50" s="44">
        <f t="shared" si="2"/>
        <v>32.092755000000004</v>
      </c>
      <c r="K50" s="44">
        <f t="shared" si="0"/>
        <v>94.946309977962798</v>
      </c>
      <c r="L50" s="104"/>
      <c r="M50" s="50"/>
      <c r="N50" s="51"/>
    </row>
    <row r="51" spans="1:14" x14ac:dyDescent="0.25">
      <c r="A51" s="41" t="s">
        <v>427</v>
      </c>
      <c r="B51" s="41" t="s">
        <v>224</v>
      </c>
      <c r="C51" s="41" t="s">
        <v>225</v>
      </c>
      <c r="D51" s="42">
        <v>45853.702777777777</v>
      </c>
      <c r="E51" s="42">
        <v>45853.732638888891</v>
      </c>
      <c r="F51">
        <v>2200</v>
      </c>
      <c r="G51">
        <v>2561</v>
      </c>
      <c r="H51">
        <v>6311.1369999999997</v>
      </c>
      <c r="I51" s="48">
        <f t="shared" si="1"/>
        <v>2.9641203703703704E-2</v>
      </c>
      <c r="J51" s="49">
        <f t="shared" si="2"/>
        <v>6.3111369999999996</v>
      </c>
      <c r="K51" s="49">
        <f t="shared" si="3"/>
        <v>18.671478030333954</v>
      </c>
      <c r="L51" s="104"/>
      <c r="M51" s="50"/>
      <c r="N51" s="51"/>
    </row>
    <row r="52" spans="1:14" x14ac:dyDescent="0.25">
      <c r="A52" s="41" t="s">
        <v>427</v>
      </c>
      <c r="B52" s="41" t="s">
        <v>224</v>
      </c>
      <c r="C52" s="41" t="s">
        <v>228</v>
      </c>
      <c r="D52" s="42">
        <v>45853.681944444441</v>
      </c>
      <c r="E52" s="42">
        <v>45853.688888888886</v>
      </c>
      <c r="F52">
        <v>191</v>
      </c>
      <c r="G52">
        <v>554</v>
      </c>
      <c r="H52">
        <v>397.69</v>
      </c>
      <c r="I52" s="43">
        <f t="shared" si="1"/>
        <v>6.4120370370370373E-3</v>
      </c>
      <c r="J52" s="44">
        <f t="shared" si="2"/>
        <v>0.39768999999999999</v>
      </c>
      <c r="K52" s="44">
        <f t="shared" si="0"/>
        <v>1.1765645553065178</v>
      </c>
      <c r="L52" s="104"/>
      <c r="M52" s="50"/>
      <c r="N52" s="51"/>
    </row>
    <row r="53" spans="1:14" x14ac:dyDescent="0.25">
      <c r="A53" s="41" t="s">
        <v>428</v>
      </c>
      <c r="B53" s="41" t="s">
        <v>224</v>
      </c>
      <c r="C53" s="41" t="s">
        <v>225</v>
      </c>
      <c r="D53" s="42">
        <v>45853.622916666667</v>
      </c>
      <c r="E53" s="42">
        <v>45853.65</v>
      </c>
      <c r="F53">
        <v>2020</v>
      </c>
      <c r="G53">
        <v>2380</v>
      </c>
      <c r="H53">
        <v>5882.0879999999997</v>
      </c>
      <c r="I53" s="48">
        <f t="shared" si="1"/>
        <v>2.7546296296296298E-2</v>
      </c>
      <c r="J53" s="49">
        <f t="shared" si="2"/>
        <v>5.8820879999999995</v>
      </c>
      <c r="K53" s="49">
        <f t="shared" si="3"/>
        <v>17.402137976800535</v>
      </c>
      <c r="L53" s="104"/>
      <c r="M53" s="50"/>
      <c r="N53" s="51"/>
    </row>
    <row r="54" spans="1:14" x14ac:dyDescent="0.25">
      <c r="A54" s="41" t="s">
        <v>429</v>
      </c>
      <c r="B54" s="41" t="s">
        <v>224</v>
      </c>
      <c r="C54" s="41" t="s">
        <v>225</v>
      </c>
      <c r="D54" s="42">
        <v>45844.95</v>
      </c>
      <c r="E54" s="42">
        <v>45844.960416666669</v>
      </c>
      <c r="F54">
        <v>556</v>
      </c>
      <c r="G54">
        <v>885</v>
      </c>
      <c r="H54">
        <v>994.04700000000003</v>
      </c>
      <c r="I54" s="43">
        <f t="shared" si="1"/>
        <v>1.0243055555555556E-2</v>
      </c>
      <c r="J54" s="44">
        <f t="shared" si="2"/>
        <v>0.99404700000000001</v>
      </c>
      <c r="K54" s="44">
        <f t="shared" si="0"/>
        <v>2.9408847758524934</v>
      </c>
      <c r="L54" s="104"/>
      <c r="M54" s="50"/>
      <c r="N54" s="51"/>
    </row>
    <row r="55" spans="1:14" x14ac:dyDescent="0.25">
      <c r="A55" s="41" t="s">
        <v>430</v>
      </c>
      <c r="B55" s="41" t="s">
        <v>224</v>
      </c>
      <c r="C55" s="41" t="s">
        <v>225</v>
      </c>
      <c r="D55" s="42">
        <v>45844.913888888892</v>
      </c>
      <c r="E55" s="42">
        <v>45844.925000000003</v>
      </c>
      <c r="F55">
        <v>626</v>
      </c>
      <c r="G55">
        <v>941</v>
      </c>
      <c r="H55">
        <v>1106.9459999999999</v>
      </c>
      <c r="I55" s="48">
        <f t="shared" si="1"/>
        <v>1.0891203703703703E-2</v>
      </c>
      <c r="J55" s="49">
        <f t="shared" si="2"/>
        <v>1.106946</v>
      </c>
      <c r="K55" s="49">
        <f t="shared" si="3"/>
        <v>3.2748960955476085</v>
      </c>
      <c r="L55" s="104"/>
      <c r="M55" s="50"/>
      <c r="N55" s="51"/>
    </row>
    <row r="56" spans="1:14" x14ac:dyDescent="0.25">
      <c r="A56" s="41" t="s">
        <v>431</v>
      </c>
      <c r="B56" s="41" t="s">
        <v>224</v>
      </c>
      <c r="C56" s="41" t="s">
        <v>225</v>
      </c>
      <c r="D56" s="42">
        <v>45844.861805555556</v>
      </c>
      <c r="E56" s="42">
        <v>45844.873611111114</v>
      </c>
      <c r="F56">
        <v>648</v>
      </c>
      <c r="G56">
        <v>968</v>
      </c>
      <c r="H56">
        <v>1152.8869999999999</v>
      </c>
      <c r="I56" s="43">
        <f t="shared" si="1"/>
        <v>1.1203703703703704E-2</v>
      </c>
      <c r="J56" s="44">
        <f t="shared" si="2"/>
        <v>1.152887</v>
      </c>
      <c r="K56" s="44">
        <f t="shared" si="0"/>
        <v>3.410812392752308</v>
      </c>
      <c r="L56" s="104"/>
      <c r="M56" s="50"/>
      <c r="N56" s="51"/>
    </row>
    <row r="57" spans="1:14" x14ac:dyDescent="0.25">
      <c r="A57" s="41" t="s">
        <v>432</v>
      </c>
      <c r="B57" s="41" t="s">
        <v>224</v>
      </c>
      <c r="C57" s="41" t="s">
        <v>225</v>
      </c>
      <c r="D57" s="42">
        <v>45844.787499999999</v>
      </c>
      <c r="E57" s="42">
        <v>45844.818749999999</v>
      </c>
      <c r="F57">
        <v>2382</v>
      </c>
      <c r="G57">
        <v>2748</v>
      </c>
      <c r="H57">
        <v>5688.5619999999999</v>
      </c>
      <c r="I57" s="48">
        <f t="shared" si="1"/>
        <v>3.1805555555555552E-2</v>
      </c>
      <c r="J57" s="49">
        <f t="shared" si="2"/>
        <v>5.6885620000000001</v>
      </c>
      <c r="K57" s="49">
        <f t="shared" si="3"/>
        <v>16.829591943130467</v>
      </c>
      <c r="L57" s="104"/>
      <c r="M57" s="50"/>
      <c r="N57" s="51"/>
    </row>
    <row r="58" spans="1:14" x14ac:dyDescent="0.25">
      <c r="A58" s="41" t="s">
        <v>433</v>
      </c>
      <c r="B58" s="41" t="s">
        <v>224</v>
      </c>
      <c r="C58" s="41" t="s">
        <v>225</v>
      </c>
      <c r="D58" s="42">
        <v>45844.756249999999</v>
      </c>
      <c r="E58" s="42">
        <v>45844.776388888888</v>
      </c>
      <c r="F58">
        <v>1408</v>
      </c>
      <c r="G58">
        <v>1708</v>
      </c>
      <c r="H58">
        <v>2331.6460000000002</v>
      </c>
      <c r="I58" s="43">
        <f t="shared" si="1"/>
        <v>1.9768518518518519E-2</v>
      </c>
      <c r="J58" s="44">
        <f t="shared" si="2"/>
        <v>2.3316460000000001</v>
      </c>
      <c r="K58" s="44">
        <f t="shared" si="0"/>
        <v>6.8981670123015943</v>
      </c>
      <c r="L58" s="104"/>
      <c r="M58" s="50"/>
      <c r="N58" s="51"/>
    </row>
    <row r="59" spans="1:14" x14ac:dyDescent="0.25">
      <c r="A59" s="41" t="s">
        <v>434</v>
      </c>
      <c r="B59" s="41" t="s">
        <v>224</v>
      </c>
      <c r="C59" s="41" t="s">
        <v>231</v>
      </c>
      <c r="D59" s="42">
        <v>45844.754861111112</v>
      </c>
      <c r="E59" s="42">
        <v>45844.754861111112</v>
      </c>
      <c r="F59">
        <v>0</v>
      </c>
      <c r="G59">
        <v>45</v>
      </c>
      <c r="H59">
        <v>0</v>
      </c>
      <c r="I59" s="48">
        <f t="shared" si="1"/>
        <v>5.2083333333333333E-4</v>
      </c>
      <c r="J59" s="49">
        <f t="shared" si="2"/>
        <v>0</v>
      </c>
      <c r="K59" s="49">
        <f t="shared" si="3"/>
        <v>0</v>
      </c>
      <c r="L59" s="104"/>
      <c r="M59" s="50"/>
      <c r="N59" s="51"/>
    </row>
    <row r="60" spans="1:14" x14ac:dyDescent="0.25">
      <c r="A60" s="41" t="s">
        <v>434</v>
      </c>
      <c r="B60" s="41" t="s">
        <v>224</v>
      </c>
      <c r="C60" s="41" t="s">
        <v>230</v>
      </c>
      <c r="D60" s="42">
        <v>45844.74722222222</v>
      </c>
      <c r="E60" s="42">
        <v>45844.747916666667</v>
      </c>
      <c r="F60">
        <v>0</v>
      </c>
      <c r="G60">
        <v>89</v>
      </c>
      <c r="H60">
        <v>0</v>
      </c>
      <c r="I60" s="43">
        <f t="shared" si="1"/>
        <v>1.0300925925925926E-3</v>
      </c>
      <c r="J60" s="44">
        <f t="shared" si="2"/>
        <v>0</v>
      </c>
      <c r="K60" s="44">
        <f t="shared" si="0"/>
        <v>0</v>
      </c>
      <c r="L60" s="104"/>
      <c r="M60" s="50"/>
      <c r="N60" s="51"/>
    </row>
    <row r="61" spans="1:14" x14ac:dyDescent="0.25">
      <c r="A61" s="41" t="s">
        <v>434</v>
      </c>
      <c r="B61" s="41" t="s">
        <v>224</v>
      </c>
      <c r="C61" s="41" t="s">
        <v>230</v>
      </c>
      <c r="D61" s="42">
        <v>45844.745833333334</v>
      </c>
      <c r="E61" s="42">
        <v>45844.745833333334</v>
      </c>
      <c r="F61">
        <v>0</v>
      </c>
      <c r="G61">
        <v>49</v>
      </c>
      <c r="H61">
        <v>0</v>
      </c>
      <c r="I61" s="48">
        <f t="shared" si="1"/>
        <v>5.6712962962962967E-4</v>
      </c>
      <c r="J61" s="49">
        <f t="shared" si="2"/>
        <v>0</v>
      </c>
      <c r="K61" s="49">
        <f t="shared" si="3"/>
        <v>0</v>
      </c>
      <c r="L61" s="104"/>
      <c r="M61" s="50"/>
      <c r="N61" s="51"/>
    </row>
    <row r="62" spans="1:14" x14ac:dyDescent="0.25">
      <c r="A62" s="41" t="s">
        <v>434</v>
      </c>
      <c r="B62" s="41" t="s">
        <v>224</v>
      </c>
      <c r="C62" s="41" t="s">
        <v>230</v>
      </c>
      <c r="D62" s="42">
        <v>45844.742361111108</v>
      </c>
      <c r="E62" s="42">
        <v>45844.742361111108</v>
      </c>
      <c r="F62">
        <v>0</v>
      </c>
      <c r="G62">
        <v>86</v>
      </c>
      <c r="H62">
        <v>0</v>
      </c>
      <c r="I62" s="43">
        <f t="shared" si="1"/>
        <v>9.9537037037037042E-4</v>
      </c>
      <c r="J62" s="44">
        <f t="shared" si="2"/>
        <v>0</v>
      </c>
      <c r="K62" s="44">
        <f t="shared" si="0"/>
        <v>0</v>
      </c>
      <c r="L62" s="104"/>
      <c r="M62" s="50"/>
      <c r="N62" s="51"/>
    </row>
    <row r="63" spans="1:14" x14ac:dyDescent="0.25">
      <c r="A63" s="41" t="s">
        <v>434</v>
      </c>
      <c r="B63" s="41" t="s">
        <v>224</v>
      </c>
      <c r="C63" s="41" t="s">
        <v>380</v>
      </c>
      <c r="D63" s="42">
        <v>45844.740277777775</v>
      </c>
      <c r="E63" s="42">
        <v>45844.740277777775</v>
      </c>
      <c r="F63">
        <v>0</v>
      </c>
      <c r="G63">
        <v>69</v>
      </c>
      <c r="H63">
        <v>0</v>
      </c>
      <c r="I63" s="48">
        <f t="shared" si="1"/>
        <v>7.9861111111111116E-4</v>
      </c>
      <c r="J63" s="49">
        <f t="shared" si="2"/>
        <v>0</v>
      </c>
      <c r="K63" s="49">
        <f t="shared" si="3"/>
        <v>0</v>
      </c>
      <c r="L63" s="103"/>
      <c r="M63" s="50"/>
      <c r="N63" s="51"/>
    </row>
    <row r="64" spans="1:14" x14ac:dyDescent="0.25">
      <c r="A64" s="41" t="s">
        <v>434</v>
      </c>
      <c r="B64" s="41" t="s">
        <v>224</v>
      </c>
      <c r="C64" s="41" t="s">
        <v>230</v>
      </c>
      <c r="D64" s="42">
        <v>45844.736111111109</v>
      </c>
      <c r="E64" s="42">
        <v>45844.736805555556</v>
      </c>
      <c r="F64">
        <v>0</v>
      </c>
      <c r="G64">
        <v>81</v>
      </c>
      <c r="H64">
        <v>0</v>
      </c>
      <c r="I64" s="43">
        <f t="shared" si="1"/>
        <v>9.3749999999999997E-4</v>
      </c>
      <c r="J64" s="44">
        <f t="shared" si="2"/>
        <v>0</v>
      </c>
      <c r="K64" s="44">
        <f t="shared" si="0"/>
        <v>0</v>
      </c>
      <c r="L64" s="96"/>
      <c r="M64" s="50"/>
      <c r="N64" s="51"/>
    </row>
    <row r="65" spans="1:14" x14ac:dyDescent="0.25">
      <c r="A65" s="41" t="s">
        <v>435</v>
      </c>
      <c r="B65" s="41" t="s">
        <v>224</v>
      </c>
      <c r="C65" s="41" t="s">
        <v>225</v>
      </c>
      <c r="D65" s="42">
        <v>45844.536111111112</v>
      </c>
      <c r="E65" s="42">
        <v>45844.617361111108</v>
      </c>
      <c r="F65">
        <v>6617</v>
      </c>
      <c r="G65">
        <v>7054</v>
      </c>
      <c r="H65">
        <v>18623.056</v>
      </c>
      <c r="I65" s="48">
        <f t="shared" si="1"/>
        <v>8.1643518518518518E-2</v>
      </c>
      <c r="J65" s="49">
        <f t="shared" si="2"/>
        <v>18.623056000000002</v>
      </c>
      <c r="K65" s="49">
        <f t="shared" si="3"/>
        <v>55.096249845579166</v>
      </c>
      <c r="L65" s="96"/>
      <c r="M65" s="50"/>
      <c r="N65" s="51"/>
    </row>
    <row r="66" spans="1:14" x14ac:dyDescent="0.25">
      <c r="A66" s="41" t="s">
        <v>433</v>
      </c>
      <c r="B66" s="41" t="s">
        <v>224</v>
      </c>
      <c r="C66" s="41" t="s">
        <v>225</v>
      </c>
      <c r="D66" s="42">
        <v>45844.50277777778</v>
      </c>
      <c r="E66" s="42">
        <v>45844.523611111108</v>
      </c>
      <c r="F66">
        <v>1460</v>
      </c>
      <c r="G66">
        <v>1779</v>
      </c>
      <c r="H66">
        <v>2331.6460000000002</v>
      </c>
      <c r="I66" s="43">
        <f t="shared" si="1"/>
        <v>2.0590277777777777E-2</v>
      </c>
      <c r="J66" s="44">
        <f t="shared" si="2"/>
        <v>2.3316460000000001</v>
      </c>
      <c r="K66" s="44">
        <f t="shared" si="3"/>
        <v>6.8981670123015943</v>
      </c>
      <c r="L66" s="96"/>
      <c r="M66" s="50"/>
      <c r="N66" s="51"/>
    </row>
    <row r="67" spans="1:14" x14ac:dyDescent="0.25">
      <c r="A67" s="41" t="s">
        <v>436</v>
      </c>
      <c r="B67" s="41" t="s">
        <v>224</v>
      </c>
      <c r="C67" s="41" t="s">
        <v>225</v>
      </c>
      <c r="D67" s="42">
        <v>45844.467361111114</v>
      </c>
      <c r="E67" s="42">
        <v>45844.484027777777</v>
      </c>
      <c r="F67">
        <v>1123</v>
      </c>
      <c r="G67">
        <v>1445</v>
      </c>
      <c r="H67">
        <v>1708.52</v>
      </c>
      <c r="I67" s="48">
        <f t="shared" ref="I67:I130" si="4">G67/86400</f>
        <v>1.6724537037037038E-2</v>
      </c>
      <c r="J67" s="49">
        <f t="shared" ref="J67:J130" si="5">H67/1000</f>
        <v>1.70852</v>
      </c>
      <c r="K67" s="49">
        <f t="shared" ref="K67:K130" si="6">1.23*PI()*(1.75/2)^2*H67/1000</f>
        <v>5.0546507934126872</v>
      </c>
      <c r="L67" s="96"/>
      <c r="M67" s="50"/>
      <c r="N67" s="51"/>
    </row>
    <row r="68" spans="1:14" x14ac:dyDescent="0.25">
      <c r="A68" s="41" t="s">
        <v>437</v>
      </c>
      <c r="B68" s="41" t="s">
        <v>224</v>
      </c>
      <c r="C68" s="41" t="s">
        <v>225</v>
      </c>
      <c r="D68" s="42">
        <v>45829.775694444441</v>
      </c>
      <c r="E68" s="42">
        <v>45829.822222222225</v>
      </c>
      <c r="F68">
        <v>3642</v>
      </c>
      <c r="G68">
        <v>4005</v>
      </c>
      <c r="H68">
        <v>13516.716</v>
      </c>
      <c r="I68" s="43">
        <f t="shared" si="4"/>
        <v>4.6354166666666669E-2</v>
      </c>
      <c r="J68" s="44">
        <f t="shared" si="5"/>
        <v>13.516716000000001</v>
      </c>
      <c r="K68" s="44">
        <f t="shared" si="6"/>
        <v>39.9891597720448</v>
      </c>
      <c r="L68" s="96"/>
      <c r="M68" s="50"/>
      <c r="N68" s="51"/>
    </row>
    <row r="69" spans="1:14" x14ac:dyDescent="0.25">
      <c r="A69" s="41" t="s">
        <v>438</v>
      </c>
      <c r="B69" s="41" t="s">
        <v>224</v>
      </c>
      <c r="C69" s="41" t="s">
        <v>225</v>
      </c>
      <c r="D69" s="42">
        <v>45810.931944444441</v>
      </c>
      <c r="E69" s="42">
        <v>45810.945833333331</v>
      </c>
      <c r="F69">
        <v>850</v>
      </c>
      <c r="G69">
        <v>1184</v>
      </c>
      <c r="H69">
        <v>2256.7950000000001</v>
      </c>
      <c r="I69" s="48">
        <f t="shared" si="4"/>
        <v>1.3703703703703704E-2</v>
      </c>
      <c r="J69" s="49">
        <f t="shared" si="5"/>
        <v>2.2567949999999999</v>
      </c>
      <c r="K69" s="49">
        <f t="shared" si="6"/>
        <v>6.6767205753048176</v>
      </c>
      <c r="L69" s="96"/>
      <c r="M69" s="50"/>
      <c r="N69" s="51"/>
    </row>
    <row r="70" spans="1:14" x14ac:dyDescent="0.25">
      <c r="A70" s="41" t="s">
        <v>439</v>
      </c>
      <c r="B70" s="41" t="s">
        <v>224</v>
      </c>
      <c r="C70" s="41" t="s">
        <v>225</v>
      </c>
      <c r="D70" s="42">
        <v>45810.900694444441</v>
      </c>
      <c r="E70" s="42">
        <v>45810.912499999999</v>
      </c>
      <c r="F70">
        <v>738</v>
      </c>
      <c r="G70">
        <v>1061</v>
      </c>
      <c r="H70">
        <v>2226.7280000000001</v>
      </c>
      <c r="I70" s="43">
        <f t="shared" si="4"/>
        <v>1.2280092592592592E-2</v>
      </c>
      <c r="J70" s="44">
        <f t="shared" si="5"/>
        <v>2.226728</v>
      </c>
      <c r="K70" s="44">
        <f t="shared" si="6"/>
        <v>6.5877674548230321</v>
      </c>
      <c r="L70" s="96"/>
      <c r="M70" s="50"/>
      <c r="N70" s="51"/>
    </row>
    <row r="71" spans="1:14" x14ac:dyDescent="0.25">
      <c r="A71" s="41" t="s">
        <v>440</v>
      </c>
      <c r="B71" s="41" t="s">
        <v>224</v>
      </c>
      <c r="C71" s="41" t="s">
        <v>225</v>
      </c>
      <c r="D71" s="42">
        <v>45809.620833333334</v>
      </c>
      <c r="E71" s="42">
        <v>45809.676388888889</v>
      </c>
      <c r="F71">
        <v>3965</v>
      </c>
      <c r="G71">
        <v>4757</v>
      </c>
      <c r="H71">
        <v>10826.73</v>
      </c>
      <c r="I71" s="48">
        <f t="shared" si="4"/>
        <v>5.5057870370370368E-2</v>
      </c>
      <c r="J71" s="49">
        <f t="shared" si="5"/>
        <v>10.82673</v>
      </c>
      <c r="K71" s="49">
        <f t="shared" si="6"/>
        <v>32.030845049847201</v>
      </c>
      <c r="L71" s="96"/>
      <c r="M71" s="50"/>
      <c r="N71" s="51"/>
    </row>
    <row r="72" spans="1:14" x14ac:dyDescent="0.25">
      <c r="A72" s="41" t="s">
        <v>441</v>
      </c>
      <c r="B72" s="41" t="s">
        <v>224</v>
      </c>
      <c r="C72" s="41" t="s">
        <v>225</v>
      </c>
      <c r="D72" s="42">
        <v>45804.795138888891</v>
      </c>
      <c r="E72" s="42">
        <v>45804.872916666667</v>
      </c>
      <c r="F72">
        <v>6302</v>
      </c>
      <c r="G72">
        <v>6747</v>
      </c>
      <c r="H72">
        <v>22029.028999999999</v>
      </c>
      <c r="I72" s="43">
        <f t="shared" si="4"/>
        <v>7.8090277777777772E-2</v>
      </c>
      <c r="J72" s="44">
        <f t="shared" si="5"/>
        <v>22.029028999999998</v>
      </c>
      <c r="K72" s="44">
        <f t="shared" si="6"/>
        <v>65.172809749350961</v>
      </c>
      <c r="L72" s="96"/>
      <c r="M72" s="50"/>
      <c r="N72" s="51"/>
    </row>
    <row r="73" spans="1:14" x14ac:dyDescent="0.25">
      <c r="A73" s="41" t="s">
        <v>442</v>
      </c>
      <c r="B73" s="41" t="s">
        <v>224</v>
      </c>
      <c r="C73" s="41" t="s">
        <v>225</v>
      </c>
      <c r="D73" s="42">
        <v>45802.43472222222</v>
      </c>
      <c r="E73" s="42">
        <v>45802.712500000001</v>
      </c>
      <c r="F73">
        <v>23570</v>
      </c>
      <c r="G73">
        <v>24003</v>
      </c>
      <c r="H73">
        <v>34135.936999999998</v>
      </c>
      <c r="I73" s="48">
        <f t="shared" si="4"/>
        <v>0.27781250000000002</v>
      </c>
      <c r="J73" s="49">
        <f t="shared" si="5"/>
        <v>34.135936999999998</v>
      </c>
      <c r="K73" s="49">
        <f t="shared" si="6"/>
        <v>100.99105719624909</v>
      </c>
      <c r="L73" s="103"/>
      <c r="M73" s="50"/>
      <c r="N73" s="51"/>
    </row>
    <row r="74" spans="1:14" x14ac:dyDescent="0.25">
      <c r="A74" s="41" t="s">
        <v>443</v>
      </c>
      <c r="B74" s="41" t="s">
        <v>224</v>
      </c>
      <c r="C74" s="41" t="s">
        <v>380</v>
      </c>
      <c r="D74" s="42">
        <v>45801.709027777775</v>
      </c>
      <c r="E74" s="42">
        <v>45801.709722222222</v>
      </c>
      <c r="F74">
        <v>0</v>
      </c>
      <c r="G74">
        <v>48</v>
      </c>
      <c r="H74">
        <v>0</v>
      </c>
      <c r="I74" s="43">
        <f t="shared" si="4"/>
        <v>5.5555555555555556E-4</v>
      </c>
      <c r="J74" s="44">
        <f t="shared" si="5"/>
        <v>0</v>
      </c>
      <c r="K74" s="44">
        <f t="shared" si="6"/>
        <v>0</v>
      </c>
      <c r="L74" s="96"/>
      <c r="M74" s="50"/>
      <c r="N74" s="51"/>
    </row>
    <row r="75" spans="1:14" x14ac:dyDescent="0.25">
      <c r="A75" s="41" t="s">
        <v>443</v>
      </c>
      <c r="B75" s="41" t="s">
        <v>224</v>
      </c>
      <c r="C75" s="41" t="s">
        <v>225</v>
      </c>
      <c r="D75" s="42">
        <v>45794.474999999999</v>
      </c>
      <c r="E75" s="42">
        <v>45794.752083333333</v>
      </c>
      <c r="F75">
        <v>23513</v>
      </c>
      <c r="G75">
        <v>23962</v>
      </c>
      <c r="H75">
        <v>34137.169000000002</v>
      </c>
      <c r="I75" s="48">
        <f t="shared" si="4"/>
        <v>0.27733796296296298</v>
      </c>
      <c r="J75" s="49">
        <f t="shared" si="5"/>
        <v>34.137169</v>
      </c>
      <c r="K75" s="49">
        <f t="shared" si="6"/>
        <v>100.99470206419183</v>
      </c>
      <c r="L75" s="96"/>
      <c r="M75" s="50"/>
      <c r="N75" s="51"/>
    </row>
    <row r="76" spans="1:14" x14ac:dyDescent="0.25">
      <c r="A76" s="41" t="s">
        <v>443</v>
      </c>
      <c r="B76" s="41" t="s">
        <v>224</v>
      </c>
      <c r="C76" s="41" t="s">
        <v>380</v>
      </c>
      <c r="D76" s="42">
        <v>45794.472222222219</v>
      </c>
      <c r="E76" s="42">
        <v>45794.472916666666</v>
      </c>
      <c r="F76">
        <v>0</v>
      </c>
      <c r="G76">
        <v>34</v>
      </c>
      <c r="H76">
        <v>0</v>
      </c>
      <c r="I76" s="43">
        <f t="shared" si="4"/>
        <v>3.9351851851851852E-4</v>
      </c>
      <c r="J76" s="44">
        <f t="shared" si="5"/>
        <v>0</v>
      </c>
      <c r="K76" s="44">
        <f t="shared" si="6"/>
        <v>0</v>
      </c>
      <c r="L76" s="96"/>
      <c r="M76" s="50"/>
      <c r="N76" s="51"/>
    </row>
    <row r="77" spans="1:14" x14ac:dyDescent="0.25">
      <c r="A77" s="41" t="s">
        <v>444</v>
      </c>
      <c r="B77" s="41" t="s">
        <v>224</v>
      </c>
      <c r="C77" s="41" t="s">
        <v>225</v>
      </c>
      <c r="D77" s="42">
        <v>45788.547222222223</v>
      </c>
      <c r="E77" s="42">
        <v>45788.599305555559</v>
      </c>
      <c r="F77">
        <v>4131</v>
      </c>
      <c r="G77">
        <v>4468</v>
      </c>
      <c r="H77">
        <v>8186.1850000000004</v>
      </c>
      <c r="I77" s="48">
        <f t="shared" si="4"/>
        <v>5.1712962962962961E-2</v>
      </c>
      <c r="J77" s="49">
        <f t="shared" si="5"/>
        <v>8.186185</v>
      </c>
      <c r="K77" s="49">
        <f t="shared" si="6"/>
        <v>24.218801363327938</v>
      </c>
      <c r="L77" s="96"/>
      <c r="M77" s="50"/>
      <c r="N77" s="51"/>
    </row>
    <row r="78" spans="1:14" x14ac:dyDescent="0.25">
      <c r="A78" s="41" t="s">
        <v>509</v>
      </c>
      <c r="B78" s="41" t="s">
        <v>224</v>
      </c>
      <c r="C78" s="41" t="s">
        <v>228</v>
      </c>
      <c r="D78" s="42">
        <v>45788.534722222219</v>
      </c>
      <c r="E78" s="42">
        <v>45788.540277777778</v>
      </c>
      <c r="F78">
        <v>146</v>
      </c>
      <c r="G78">
        <v>471</v>
      </c>
      <c r="H78">
        <v>213.37700000000001</v>
      </c>
      <c r="I78" s="43">
        <f t="shared" si="4"/>
        <v>5.4513888888888893E-3</v>
      </c>
      <c r="J78" s="44">
        <f t="shared" si="5"/>
        <v>0.21337700000000001</v>
      </c>
      <c r="K78" s="44">
        <f t="shared" si="6"/>
        <v>0.63127515179571747</v>
      </c>
      <c r="L78" s="96"/>
      <c r="M78" s="50"/>
      <c r="N78" s="51"/>
    </row>
    <row r="79" spans="1:14" x14ac:dyDescent="0.25">
      <c r="A79" s="41" t="s">
        <v>445</v>
      </c>
      <c r="B79" s="41" t="s">
        <v>224</v>
      </c>
      <c r="C79" s="41" t="s">
        <v>225</v>
      </c>
      <c r="D79" s="42">
        <v>45786.795138888891</v>
      </c>
      <c r="E79" s="42">
        <v>45786.813194444447</v>
      </c>
      <c r="F79">
        <v>1255</v>
      </c>
      <c r="G79">
        <v>1592</v>
      </c>
      <c r="H79">
        <v>1394.5239999999999</v>
      </c>
      <c r="I79" s="48">
        <f t="shared" si="4"/>
        <v>1.8425925925925925E-2</v>
      </c>
      <c r="J79" s="49">
        <f t="shared" si="5"/>
        <v>1.3945239999999999</v>
      </c>
      <c r="K79" s="49">
        <f t="shared" si="6"/>
        <v>4.1256946614807166</v>
      </c>
      <c r="L79" s="96"/>
      <c r="M79" s="50"/>
      <c r="N79" s="51"/>
    </row>
    <row r="80" spans="1:14" x14ac:dyDescent="0.25">
      <c r="A80" s="41" t="s">
        <v>446</v>
      </c>
      <c r="B80" s="41" t="s">
        <v>224</v>
      </c>
      <c r="C80" s="41" t="s">
        <v>225</v>
      </c>
      <c r="D80" s="42">
        <v>45786.728472222225</v>
      </c>
      <c r="E80" s="42">
        <v>45786.753472222219</v>
      </c>
      <c r="F80">
        <v>1806</v>
      </c>
      <c r="G80">
        <v>2143</v>
      </c>
      <c r="H80">
        <v>3106.0360000000001</v>
      </c>
      <c r="I80" s="43">
        <f t="shared" si="4"/>
        <v>2.480324074074074E-2</v>
      </c>
      <c r="J80" s="44">
        <f t="shared" si="5"/>
        <v>3.106036</v>
      </c>
      <c r="K80" s="44">
        <f t="shared" si="6"/>
        <v>9.1891972770399928</v>
      </c>
      <c r="L80" s="96"/>
      <c r="M80" s="50"/>
      <c r="N80" s="51"/>
    </row>
    <row r="81" spans="1:14" x14ac:dyDescent="0.25">
      <c r="A81" s="41" t="s">
        <v>447</v>
      </c>
      <c r="B81" s="41" t="s">
        <v>224</v>
      </c>
      <c r="C81" s="41" t="s">
        <v>225</v>
      </c>
      <c r="D81" s="42">
        <v>45786.527083333334</v>
      </c>
      <c r="E81" s="42">
        <v>45786.724999999999</v>
      </c>
      <c r="F81">
        <v>16796</v>
      </c>
      <c r="G81">
        <v>17123</v>
      </c>
      <c r="H81">
        <v>30636.923999999999</v>
      </c>
      <c r="I81" s="48">
        <f t="shared" si="4"/>
        <v>0.19818287037037038</v>
      </c>
      <c r="J81" s="49">
        <f t="shared" si="5"/>
        <v>30.636924</v>
      </c>
      <c r="K81" s="49">
        <f t="shared" si="6"/>
        <v>90.63923875888149</v>
      </c>
      <c r="L81" s="96"/>
      <c r="M81" s="50"/>
      <c r="N81" s="51"/>
    </row>
    <row r="82" spans="1:14" x14ac:dyDescent="0.25">
      <c r="A82" s="41" t="s">
        <v>510</v>
      </c>
      <c r="B82" s="41" t="s">
        <v>224</v>
      </c>
      <c r="C82" s="41" t="s">
        <v>228</v>
      </c>
      <c r="D82" s="42">
        <v>45786.510416666664</v>
      </c>
      <c r="E82" s="42">
        <v>45786.520833333336</v>
      </c>
      <c r="F82">
        <v>590</v>
      </c>
      <c r="G82">
        <v>900</v>
      </c>
      <c r="H82">
        <v>1918.259</v>
      </c>
      <c r="I82" s="43">
        <f t="shared" si="4"/>
        <v>1.0416666666666666E-2</v>
      </c>
      <c r="J82" s="44">
        <f t="shared" si="5"/>
        <v>1.9182589999999999</v>
      </c>
      <c r="K82" s="44">
        <f t="shared" si="6"/>
        <v>5.6751629341892569</v>
      </c>
      <c r="L82" s="96"/>
      <c r="M82" s="50"/>
      <c r="N82" s="51"/>
    </row>
    <row r="83" spans="1:14" x14ac:dyDescent="0.25">
      <c r="A83" s="41" t="s">
        <v>448</v>
      </c>
      <c r="B83" s="41" t="s">
        <v>224</v>
      </c>
      <c r="C83" s="41" t="s">
        <v>225</v>
      </c>
      <c r="D83" s="42">
        <v>45777.75</v>
      </c>
      <c r="E83" s="42">
        <v>45777.786805555559</v>
      </c>
      <c r="F83">
        <v>2768</v>
      </c>
      <c r="G83">
        <v>3166</v>
      </c>
      <c r="H83">
        <v>8652.0949999999993</v>
      </c>
      <c r="I83" s="48">
        <f t="shared" si="4"/>
        <v>3.664351851851852E-2</v>
      </c>
      <c r="J83" s="49">
        <f t="shared" si="5"/>
        <v>8.6520949999999992</v>
      </c>
      <c r="K83" s="49">
        <f t="shared" si="6"/>
        <v>25.597194563968785</v>
      </c>
      <c r="L83" s="96"/>
      <c r="M83" s="50"/>
      <c r="N83" s="51"/>
    </row>
    <row r="84" spans="1:14" x14ac:dyDescent="0.25">
      <c r="A84" s="41" t="s">
        <v>449</v>
      </c>
      <c r="B84" s="41" t="s">
        <v>224</v>
      </c>
      <c r="C84" s="41" t="s">
        <v>225</v>
      </c>
      <c r="D84" s="42">
        <v>45777.694444444445</v>
      </c>
      <c r="E84" s="42">
        <v>45777.749305555553</v>
      </c>
      <c r="F84">
        <v>4377</v>
      </c>
      <c r="G84">
        <v>4742</v>
      </c>
      <c r="H84">
        <v>8131.5259999999998</v>
      </c>
      <c r="I84" s="43">
        <f t="shared" si="4"/>
        <v>5.4884259259259258E-2</v>
      </c>
      <c r="J84" s="44">
        <f t="shared" si="5"/>
        <v>8.1315259999999991</v>
      </c>
      <c r="K84" s="44">
        <f t="shared" si="6"/>
        <v>24.057092891833808</v>
      </c>
      <c r="L84" s="96"/>
      <c r="M84" s="50"/>
      <c r="N84" s="51"/>
    </row>
    <row r="85" spans="1:14" x14ac:dyDescent="0.25">
      <c r="A85" s="41" t="s">
        <v>450</v>
      </c>
      <c r="B85" s="41" t="s">
        <v>224</v>
      </c>
      <c r="C85" s="41" t="s">
        <v>225</v>
      </c>
      <c r="D85" s="42">
        <v>45777.600694444445</v>
      </c>
      <c r="E85" s="42">
        <v>45777.693055555559</v>
      </c>
      <c r="F85">
        <v>7563</v>
      </c>
      <c r="G85">
        <v>7998</v>
      </c>
      <c r="H85">
        <v>19151.874</v>
      </c>
      <c r="I85" s="48">
        <f t="shared" si="4"/>
        <v>9.256944444444444E-2</v>
      </c>
      <c r="J85" s="49">
        <f t="shared" si="5"/>
        <v>19.151873999999999</v>
      </c>
      <c r="K85" s="49">
        <f t="shared" si="6"/>
        <v>56.660756157048105</v>
      </c>
      <c r="L85" s="96"/>
      <c r="M85" s="50"/>
      <c r="N85" s="51"/>
    </row>
    <row r="86" spans="1:14" x14ac:dyDescent="0.25">
      <c r="A86" s="41" t="s">
        <v>451</v>
      </c>
      <c r="B86" s="41" t="s">
        <v>224</v>
      </c>
      <c r="C86" s="41" t="s">
        <v>225</v>
      </c>
      <c r="D86" s="42">
        <v>45777.548611111109</v>
      </c>
      <c r="E86" s="42">
        <v>45777.591666666667</v>
      </c>
      <c r="F86">
        <v>3356</v>
      </c>
      <c r="G86">
        <v>3761</v>
      </c>
      <c r="H86">
        <v>11562.43</v>
      </c>
      <c r="I86" s="43">
        <f t="shared" si="4"/>
        <v>4.3530092592592592E-2</v>
      </c>
      <c r="J86" s="44">
        <f t="shared" si="5"/>
        <v>11.562430000000001</v>
      </c>
      <c r="K86" s="44">
        <f t="shared" si="6"/>
        <v>34.207411077001531</v>
      </c>
      <c r="L86" s="96"/>
      <c r="M86" s="50"/>
      <c r="N86" s="51"/>
    </row>
    <row r="87" spans="1:14" x14ac:dyDescent="0.25">
      <c r="A87" s="41" t="s">
        <v>452</v>
      </c>
      <c r="B87" s="41" t="s">
        <v>224</v>
      </c>
      <c r="C87" s="41" t="s">
        <v>225</v>
      </c>
      <c r="D87" s="42">
        <v>45776.755555555559</v>
      </c>
      <c r="E87" s="42">
        <v>45776.861111111109</v>
      </c>
      <c r="F87">
        <v>8698</v>
      </c>
      <c r="G87">
        <v>9154</v>
      </c>
      <c r="H87">
        <v>19661.089</v>
      </c>
      <c r="I87" s="48">
        <f t="shared" si="4"/>
        <v>0.10594907407407407</v>
      </c>
      <c r="J87" s="49">
        <f t="shared" si="5"/>
        <v>19.661089</v>
      </c>
      <c r="K87" s="49">
        <f t="shared" si="6"/>
        <v>58.167267057574669</v>
      </c>
      <c r="L87" s="96"/>
      <c r="M87" s="50"/>
      <c r="N87" s="51"/>
    </row>
    <row r="88" spans="1:14" x14ac:dyDescent="0.25">
      <c r="A88" s="41" t="s">
        <v>453</v>
      </c>
      <c r="B88" s="41" t="s">
        <v>224</v>
      </c>
      <c r="C88" s="41" t="s">
        <v>225</v>
      </c>
      <c r="D88" s="42">
        <v>45774.792361111111</v>
      </c>
      <c r="E88" s="42">
        <v>45774.890972222223</v>
      </c>
      <c r="F88">
        <v>8137</v>
      </c>
      <c r="G88">
        <v>8555</v>
      </c>
      <c r="H88">
        <v>23739.098999999998</v>
      </c>
      <c r="I88" s="43">
        <f t="shared" si="4"/>
        <v>9.9016203703703703E-2</v>
      </c>
      <c r="J88" s="44">
        <f t="shared" si="5"/>
        <v>23.739099</v>
      </c>
      <c r="K88" s="44">
        <f t="shared" si="6"/>
        <v>70.2320462126591</v>
      </c>
      <c r="L88" s="96"/>
      <c r="M88" s="50"/>
      <c r="N88" s="51"/>
    </row>
    <row r="89" spans="1:14" x14ac:dyDescent="0.25">
      <c r="A89" s="41" t="s">
        <v>454</v>
      </c>
      <c r="B89" s="41" t="s">
        <v>224</v>
      </c>
      <c r="C89" s="41" t="s">
        <v>225</v>
      </c>
      <c r="D89" s="42">
        <v>45774.751388888886</v>
      </c>
      <c r="E89" s="42">
        <v>45774.790972222225</v>
      </c>
      <c r="F89">
        <v>3129</v>
      </c>
      <c r="G89">
        <v>3451</v>
      </c>
      <c r="H89">
        <v>5037.7929999999997</v>
      </c>
      <c r="I89" s="48">
        <f t="shared" si="4"/>
        <v>3.9942129629629633E-2</v>
      </c>
      <c r="J89" s="49">
        <f t="shared" si="5"/>
        <v>5.0377929999999997</v>
      </c>
      <c r="K89" s="49">
        <f t="shared" si="6"/>
        <v>14.904293999776932</v>
      </c>
      <c r="L89" s="96"/>
      <c r="M89" s="50"/>
      <c r="N89" s="51"/>
    </row>
    <row r="90" spans="1:14" x14ac:dyDescent="0.25">
      <c r="A90" s="41" t="s">
        <v>455</v>
      </c>
      <c r="B90" s="41" t="s">
        <v>224</v>
      </c>
      <c r="C90" s="41" t="s">
        <v>225</v>
      </c>
      <c r="D90" s="42">
        <v>45774.717361111114</v>
      </c>
      <c r="E90" s="42">
        <v>45774.734722222223</v>
      </c>
      <c r="F90">
        <v>1175</v>
      </c>
      <c r="G90">
        <v>1520</v>
      </c>
      <c r="H90">
        <v>1683.086</v>
      </c>
      <c r="I90" s="43">
        <f t="shared" si="4"/>
        <v>1.7592592592592594E-2</v>
      </c>
      <c r="J90" s="44">
        <f t="shared" si="5"/>
        <v>1.6830860000000001</v>
      </c>
      <c r="K90" s="44">
        <f t="shared" si="6"/>
        <v>4.9794043881732648</v>
      </c>
      <c r="L90" s="96"/>
      <c r="M90" s="50"/>
      <c r="N90" s="51"/>
    </row>
    <row r="91" spans="1:14" x14ac:dyDescent="0.25">
      <c r="A91" s="41" t="s">
        <v>456</v>
      </c>
      <c r="B91" s="41" t="s">
        <v>224</v>
      </c>
      <c r="C91" s="41" t="s">
        <v>225</v>
      </c>
      <c r="D91" s="42">
        <v>45774.671527777777</v>
      </c>
      <c r="E91" s="42">
        <v>45774.678472222222</v>
      </c>
      <c r="F91">
        <v>261</v>
      </c>
      <c r="G91">
        <v>607</v>
      </c>
      <c r="H91">
        <v>236.477</v>
      </c>
      <c r="I91" s="48">
        <f t="shared" si="4"/>
        <v>7.0254629629629634E-3</v>
      </c>
      <c r="J91" s="49">
        <f t="shared" si="5"/>
        <v>0.23647699999999999</v>
      </c>
      <c r="K91" s="49">
        <f t="shared" si="6"/>
        <v>0.69961642572159077</v>
      </c>
      <c r="L91" s="96"/>
      <c r="M91" s="50"/>
      <c r="N91" s="51"/>
    </row>
    <row r="92" spans="1:14" x14ac:dyDescent="0.25">
      <c r="A92" s="41" t="s">
        <v>457</v>
      </c>
      <c r="B92" s="41" t="s">
        <v>224</v>
      </c>
      <c r="C92" s="41" t="s">
        <v>225</v>
      </c>
      <c r="D92" s="42">
        <v>45774.555555555555</v>
      </c>
      <c r="E92" s="42">
        <v>45774.602083333331</v>
      </c>
      <c r="F92">
        <v>3616</v>
      </c>
      <c r="G92">
        <v>4030</v>
      </c>
      <c r="H92">
        <v>11214.696</v>
      </c>
      <c r="I92" s="43">
        <f t="shared" si="4"/>
        <v>4.6643518518518522E-2</v>
      </c>
      <c r="J92" s="44">
        <f t="shared" si="5"/>
        <v>11.214696</v>
      </c>
      <c r="K92" s="44">
        <f t="shared" si="6"/>
        <v>33.178641183177305</v>
      </c>
      <c r="L92" s="96"/>
      <c r="M92" s="50"/>
      <c r="N92" s="51"/>
    </row>
    <row r="93" spans="1:14" x14ac:dyDescent="0.25">
      <c r="A93" s="41" t="s">
        <v>458</v>
      </c>
      <c r="B93" s="41" t="s">
        <v>224</v>
      </c>
      <c r="C93" s="41" t="s">
        <v>225</v>
      </c>
      <c r="D93" s="42">
        <v>45774.526388888888</v>
      </c>
      <c r="E93" s="42">
        <v>45774.542361111111</v>
      </c>
      <c r="F93">
        <v>937</v>
      </c>
      <c r="G93">
        <v>1354</v>
      </c>
      <c r="H93">
        <v>2692.9279999999999</v>
      </c>
      <c r="I93" s="48">
        <f t="shared" si="4"/>
        <v>1.5671296296296298E-2</v>
      </c>
      <c r="J93" s="49">
        <f t="shared" si="5"/>
        <v>2.6929279999999998</v>
      </c>
      <c r="K93" s="49">
        <f t="shared" si="6"/>
        <v>7.9670186195088393</v>
      </c>
      <c r="L93" s="96"/>
      <c r="M93" s="50"/>
      <c r="N93" s="51"/>
    </row>
    <row r="94" spans="1:14" x14ac:dyDescent="0.25">
      <c r="A94" s="41" t="s">
        <v>459</v>
      </c>
      <c r="B94" s="41" t="s">
        <v>224</v>
      </c>
      <c r="C94" s="41" t="s">
        <v>225</v>
      </c>
      <c r="D94" s="42">
        <v>45773.706944444442</v>
      </c>
      <c r="E94" s="42">
        <v>45773.726388888892</v>
      </c>
      <c r="F94">
        <v>1307</v>
      </c>
      <c r="G94">
        <v>1632</v>
      </c>
      <c r="H94">
        <v>2320.413</v>
      </c>
      <c r="I94" s="43">
        <f t="shared" si="4"/>
        <v>1.8888888888888889E-2</v>
      </c>
      <c r="J94" s="44">
        <f t="shared" si="5"/>
        <v>2.3204129999999998</v>
      </c>
      <c r="K94" s="44">
        <f t="shared" si="6"/>
        <v>6.8649342187946969</v>
      </c>
      <c r="L94" s="96"/>
      <c r="M94" s="50"/>
      <c r="N94" s="51"/>
    </row>
    <row r="95" spans="1:14" x14ac:dyDescent="0.25">
      <c r="A95" s="41" t="s">
        <v>460</v>
      </c>
      <c r="B95" s="41" t="s">
        <v>224</v>
      </c>
      <c r="C95" s="41" t="s">
        <v>225</v>
      </c>
      <c r="D95" s="42">
        <v>45773.659722222219</v>
      </c>
      <c r="E95" s="42">
        <v>45773.683333333334</v>
      </c>
      <c r="F95">
        <v>1706</v>
      </c>
      <c r="G95">
        <v>2072</v>
      </c>
      <c r="H95">
        <v>4854.8649999999998</v>
      </c>
      <c r="I95" s="48">
        <f t="shared" si="4"/>
        <v>2.3981481481481482E-2</v>
      </c>
      <c r="J95" s="49">
        <f t="shared" si="5"/>
        <v>4.8548650000000002</v>
      </c>
      <c r="K95" s="49">
        <f t="shared" si="6"/>
        <v>14.363102114204976</v>
      </c>
      <c r="L95" s="96"/>
      <c r="M95" s="50"/>
      <c r="N95" s="51"/>
    </row>
    <row r="96" spans="1:14" x14ac:dyDescent="0.25">
      <c r="A96" s="41" t="s">
        <v>461</v>
      </c>
      <c r="B96" s="41" t="s">
        <v>224</v>
      </c>
      <c r="C96" s="41" t="s">
        <v>225</v>
      </c>
      <c r="D96" s="42">
        <v>45773.620138888888</v>
      </c>
      <c r="E96" s="42">
        <v>45773.638888888891</v>
      </c>
      <c r="F96">
        <v>1280</v>
      </c>
      <c r="G96">
        <v>1599</v>
      </c>
      <c r="H96">
        <v>932.67399999999998</v>
      </c>
      <c r="I96" s="43">
        <f t="shared" si="4"/>
        <v>1.8506944444444444E-2</v>
      </c>
      <c r="J96" s="44">
        <f t="shared" si="5"/>
        <v>0.932674</v>
      </c>
      <c r="K96" s="44">
        <f t="shared" si="6"/>
        <v>2.759312957469263</v>
      </c>
      <c r="L96" s="96"/>
      <c r="M96" s="50"/>
      <c r="N96" s="51"/>
    </row>
    <row r="97" spans="1:14" x14ac:dyDescent="0.25">
      <c r="A97" s="41" t="s">
        <v>462</v>
      </c>
      <c r="B97" s="41" t="s">
        <v>224</v>
      </c>
      <c r="C97" s="41" t="s">
        <v>225</v>
      </c>
      <c r="D97" s="42">
        <v>45773.606249999997</v>
      </c>
      <c r="E97" s="42">
        <v>45773.613888888889</v>
      </c>
      <c r="F97">
        <v>325</v>
      </c>
      <c r="G97">
        <v>652</v>
      </c>
      <c r="H97">
        <v>434.31799999999998</v>
      </c>
      <c r="I97" s="48">
        <f t="shared" si="4"/>
        <v>7.5462962962962966E-3</v>
      </c>
      <c r="J97" s="49">
        <f t="shared" si="5"/>
        <v>0.43431799999999998</v>
      </c>
      <c r="K97" s="49">
        <f t="shared" si="6"/>
        <v>1.2849283726812748</v>
      </c>
      <c r="L97" s="96"/>
      <c r="M97" s="50"/>
      <c r="N97" s="51"/>
    </row>
    <row r="98" spans="1:14" x14ac:dyDescent="0.25">
      <c r="A98" s="41" t="s">
        <v>463</v>
      </c>
      <c r="B98" s="41" t="s">
        <v>224</v>
      </c>
      <c r="C98" s="41" t="s">
        <v>225</v>
      </c>
      <c r="D98" s="42">
        <v>45772.879861111112</v>
      </c>
      <c r="E98" s="42">
        <v>45772.888888888891</v>
      </c>
      <c r="F98">
        <v>290</v>
      </c>
      <c r="G98">
        <v>723</v>
      </c>
      <c r="H98">
        <v>381.20699999999999</v>
      </c>
      <c r="I98" s="43">
        <f t="shared" si="4"/>
        <v>8.3680555555555557E-3</v>
      </c>
      <c r="J98" s="44">
        <f t="shared" si="5"/>
        <v>0.38120700000000002</v>
      </c>
      <c r="K98" s="44">
        <f t="shared" si="6"/>
        <v>1.1277996540891944</v>
      </c>
      <c r="L98" s="96"/>
      <c r="M98" s="50"/>
      <c r="N98" s="51"/>
    </row>
    <row r="99" spans="1:14" x14ac:dyDescent="0.25">
      <c r="A99" s="41" t="s">
        <v>464</v>
      </c>
      <c r="B99" s="41" t="s">
        <v>224</v>
      </c>
      <c r="C99" s="41" t="s">
        <v>225</v>
      </c>
      <c r="D99" s="42">
        <v>45772.82916666667</v>
      </c>
      <c r="E99" s="42">
        <v>45772.854861111111</v>
      </c>
      <c r="F99">
        <v>1850</v>
      </c>
      <c r="G99">
        <v>2180</v>
      </c>
      <c r="H99">
        <v>2641.7660000000001</v>
      </c>
      <c r="I99" s="48">
        <f t="shared" si="4"/>
        <v>2.5231481481481483E-2</v>
      </c>
      <c r="J99" s="49">
        <f t="shared" si="5"/>
        <v>2.6417660000000001</v>
      </c>
      <c r="K99" s="49">
        <f t="shared" si="6"/>
        <v>7.8156560109982101</v>
      </c>
      <c r="L99" s="96"/>
      <c r="M99" s="50"/>
      <c r="N99" s="51"/>
    </row>
    <row r="100" spans="1:14" x14ac:dyDescent="0.25">
      <c r="A100" s="41" t="s">
        <v>465</v>
      </c>
      <c r="B100" s="41" t="s">
        <v>224</v>
      </c>
      <c r="C100" s="41" t="s">
        <v>225</v>
      </c>
      <c r="D100" s="42">
        <v>45772.79583333333</v>
      </c>
      <c r="E100" s="42">
        <v>45772.801388888889</v>
      </c>
      <c r="F100">
        <v>147</v>
      </c>
      <c r="G100">
        <v>467</v>
      </c>
      <c r="H100">
        <v>48.503</v>
      </c>
      <c r="I100" s="43">
        <f t="shared" si="4"/>
        <v>5.4050925925925924E-3</v>
      </c>
      <c r="J100" s="44">
        <f t="shared" si="5"/>
        <v>4.8502999999999998E-2</v>
      </c>
      <c r="K100" s="44">
        <f t="shared" si="6"/>
        <v>0.14349596576738674</v>
      </c>
      <c r="L100" s="96"/>
      <c r="M100" s="50"/>
      <c r="N100" s="51"/>
    </row>
    <row r="101" spans="1:14" x14ac:dyDescent="0.25">
      <c r="A101" s="41" t="s">
        <v>466</v>
      </c>
      <c r="B101" s="41" t="s">
        <v>224</v>
      </c>
      <c r="C101" s="41" t="s">
        <v>225</v>
      </c>
      <c r="D101" s="42">
        <v>45772.593055555553</v>
      </c>
      <c r="E101" s="42">
        <v>45772.788888888892</v>
      </c>
      <c r="F101">
        <v>14689</v>
      </c>
      <c r="G101">
        <v>16955</v>
      </c>
      <c r="H101">
        <v>37793.930999999997</v>
      </c>
      <c r="I101" s="48">
        <f t="shared" si="4"/>
        <v>0.19623842592592591</v>
      </c>
      <c r="J101" s="49">
        <f t="shared" si="5"/>
        <v>37.793930999999994</v>
      </c>
      <c r="K101" s="49">
        <f t="shared" si="6"/>
        <v>111.81322039855218</v>
      </c>
      <c r="L101" s="96"/>
      <c r="M101" s="50"/>
      <c r="N101" s="51"/>
    </row>
    <row r="102" spans="1:14" x14ac:dyDescent="0.25">
      <c r="A102" s="41" t="s">
        <v>467</v>
      </c>
      <c r="B102" s="41" t="s">
        <v>224</v>
      </c>
      <c r="C102" s="41" t="s">
        <v>225</v>
      </c>
      <c r="D102" s="42">
        <v>45765.754166666666</v>
      </c>
      <c r="E102" s="42">
        <v>45765.982638888891</v>
      </c>
      <c r="F102">
        <v>19326</v>
      </c>
      <c r="G102">
        <v>19762</v>
      </c>
      <c r="H102">
        <v>25506.859</v>
      </c>
      <c r="I102" s="43">
        <f t="shared" si="4"/>
        <v>0.22872685185185185</v>
      </c>
      <c r="J102" s="44">
        <f t="shared" si="5"/>
        <v>25.506858999999999</v>
      </c>
      <c r="K102" s="44">
        <f t="shared" si="6"/>
        <v>75.461958350979529</v>
      </c>
      <c r="L102" s="96"/>
      <c r="M102" s="50"/>
      <c r="N102" s="51"/>
    </row>
    <row r="103" spans="1:14" x14ac:dyDescent="0.25">
      <c r="A103" s="41" t="s">
        <v>468</v>
      </c>
      <c r="B103" s="41" t="s">
        <v>224</v>
      </c>
      <c r="C103" s="41" t="s">
        <v>225</v>
      </c>
      <c r="D103" s="42">
        <v>45762.817361111112</v>
      </c>
      <c r="E103" s="42">
        <v>45762.940972222219</v>
      </c>
      <c r="F103">
        <v>10266</v>
      </c>
      <c r="G103">
        <v>10683</v>
      </c>
      <c r="H103">
        <v>22027.652999999998</v>
      </c>
      <c r="I103" s="48">
        <f t="shared" si="4"/>
        <v>0.12364583333333333</v>
      </c>
      <c r="J103" s="49">
        <f t="shared" si="5"/>
        <v>22.027652999999997</v>
      </c>
      <c r="K103" s="49">
        <f t="shared" si="6"/>
        <v>65.168738857882474</v>
      </c>
      <c r="L103" s="96"/>
      <c r="M103" s="50"/>
      <c r="N103" s="51"/>
    </row>
    <row r="104" spans="1:14" x14ac:dyDescent="0.25">
      <c r="A104" s="41" t="s">
        <v>374</v>
      </c>
      <c r="B104" s="41" t="s">
        <v>224</v>
      </c>
      <c r="C104" s="41" t="s">
        <v>225</v>
      </c>
      <c r="D104" s="42">
        <v>45760.741666666669</v>
      </c>
      <c r="E104" s="42">
        <v>45760.760416666664</v>
      </c>
      <c r="F104">
        <v>1300</v>
      </c>
      <c r="G104">
        <v>1618</v>
      </c>
      <c r="H104">
        <v>1707.364</v>
      </c>
      <c r="I104" s="43">
        <f t="shared" si="4"/>
        <v>1.8726851851851852E-2</v>
      </c>
      <c r="J104" s="44">
        <f t="shared" si="5"/>
        <v>1.7073640000000001</v>
      </c>
      <c r="K104" s="44">
        <f t="shared" si="6"/>
        <v>5.0512307712196867</v>
      </c>
      <c r="L104" s="96" t="s">
        <v>396</v>
      </c>
      <c r="M104" s="50"/>
      <c r="N104" s="51"/>
    </row>
    <row r="105" spans="1:14" x14ac:dyDescent="0.25">
      <c r="A105" s="41" t="s">
        <v>375</v>
      </c>
      <c r="B105" s="41" t="s">
        <v>224</v>
      </c>
      <c r="C105" s="41" t="s">
        <v>225</v>
      </c>
      <c r="D105" s="42">
        <v>45760.727777777778</v>
      </c>
      <c r="E105" s="42">
        <v>45760.738194444442</v>
      </c>
      <c r="F105">
        <v>454</v>
      </c>
      <c r="G105">
        <v>887</v>
      </c>
      <c r="H105">
        <v>484.90100000000001</v>
      </c>
      <c r="I105" s="48">
        <f t="shared" si="4"/>
        <v>1.0266203703703704E-2</v>
      </c>
      <c r="J105" s="49">
        <f t="shared" si="5"/>
        <v>0.48490100000000003</v>
      </c>
      <c r="K105" s="49">
        <f t="shared" si="6"/>
        <v>1.434578011598697</v>
      </c>
      <c r="L105" s="96" t="s">
        <v>371</v>
      </c>
      <c r="M105" s="50"/>
      <c r="N105" s="51"/>
    </row>
    <row r="106" spans="1:14" x14ac:dyDescent="0.25">
      <c r="A106" s="41" t="s">
        <v>376</v>
      </c>
      <c r="B106" s="41" t="s">
        <v>224</v>
      </c>
      <c r="C106" s="41" t="s">
        <v>225</v>
      </c>
      <c r="D106" s="42">
        <v>45760.686111111114</v>
      </c>
      <c r="E106" s="42">
        <v>45760.724305555559</v>
      </c>
      <c r="F106">
        <v>2979</v>
      </c>
      <c r="G106">
        <v>3303</v>
      </c>
      <c r="H106">
        <v>4749.2439999999997</v>
      </c>
      <c r="I106" s="43">
        <f t="shared" si="4"/>
        <v>3.8229166666666668E-2</v>
      </c>
      <c r="J106" s="44">
        <f t="shared" si="5"/>
        <v>4.749244</v>
      </c>
      <c r="K106" s="44">
        <f t="shared" si="6"/>
        <v>14.050622733541571</v>
      </c>
      <c r="L106" s="96" t="s">
        <v>397</v>
      </c>
      <c r="M106" s="50"/>
      <c r="N106" s="51"/>
    </row>
    <row r="107" spans="1:14" x14ac:dyDescent="0.25">
      <c r="A107" s="41" t="s">
        <v>377</v>
      </c>
      <c r="B107" s="41" t="s">
        <v>224</v>
      </c>
      <c r="C107" s="41" t="s">
        <v>225</v>
      </c>
      <c r="D107" s="42">
        <v>45760.519444444442</v>
      </c>
      <c r="E107" s="42">
        <v>45760.611111111109</v>
      </c>
      <c r="F107">
        <v>7563</v>
      </c>
      <c r="G107">
        <v>7938</v>
      </c>
      <c r="H107">
        <v>12215.724</v>
      </c>
      <c r="I107" s="48">
        <f t="shared" si="4"/>
        <v>9.1874999999999998E-2</v>
      </c>
      <c r="J107" s="49">
        <f t="shared" si="5"/>
        <v>12.215724</v>
      </c>
      <c r="K107" s="49">
        <f t="shared" si="6"/>
        <v>36.140179224539608</v>
      </c>
      <c r="L107" s="96" t="s">
        <v>398</v>
      </c>
      <c r="M107" s="50"/>
      <c r="N107" s="51"/>
    </row>
    <row r="108" spans="1:14" x14ac:dyDescent="0.25">
      <c r="A108" s="41" t="s">
        <v>378</v>
      </c>
      <c r="B108" s="41" t="s">
        <v>224</v>
      </c>
      <c r="C108" s="41" t="s">
        <v>225</v>
      </c>
      <c r="D108" s="42">
        <v>45760.386805555558</v>
      </c>
      <c r="E108" s="42">
        <v>45760.495833333334</v>
      </c>
      <c r="F108">
        <v>9073</v>
      </c>
      <c r="G108">
        <v>9436</v>
      </c>
      <c r="H108">
        <v>14540.584999999999</v>
      </c>
      <c r="I108" s="43">
        <f t="shared" si="4"/>
        <v>0.10921296296296296</v>
      </c>
      <c r="J108" s="44">
        <f t="shared" si="5"/>
        <v>14.540584999999998</v>
      </c>
      <c r="K108" s="44">
        <f t="shared" si="6"/>
        <v>43.018272836685917</v>
      </c>
      <c r="L108" s="101" t="s">
        <v>399</v>
      </c>
      <c r="M108" s="50"/>
      <c r="N108" s="51"/>
    </row>
    <row r="109" spans="1:14" x14ac:dyDescent="0.25">
      <c r="A109" s="41" t="s">
        <v>379</v>
      </c>
      <c r="B109" s="41" t="s">
        <v>224</v>
      </c>
      <c r="C109" s="41" t="s">
        <v>225</v>
      </c>
      <c r="D109" s="42">
        <v>45759.902083333334</v>
      </c>
      <c r="E109" s="42">
        <v>45759.952777777777</v>
      </c>
      <c r="F109">
        <v>3996</v>
      </c>
      <c r="G109">
        <v>4433</v>
      </c>
      <c r="H109">
        <v>9320.64</v>
      </c>
      <c r="I109" s="48">
        <f t="shared" si="4"/>
        <v>5.1307870370370372E-2</v>
      </c>
      <c r="J109" s="49">
        <f t="shared" si="5"/>
        <v>9.3206399999999991</v>
      </c>
      <c r="K109" s="49">
        <f t="shared" si="6"/>
        <v>27.575082744781465</v>
      </c>
      <c r="L109" s="96" t="s">
        <v>400</v>
      </c>
      <c r="M109" s="50"/>
      <c r="N109" s="51"/>
    </row>
    <row r="110" spans="1:14" x14ac:dyDescent="0.25">
      <c r="A110" s="41" t="s">
        <v>379</v>
      </c>
      <c r="B110" s="41" t="s">
        <v>224</v>
      </c>
      <c r="C110" s="41" t="s">
        <v>380</v>
      </c>
      <c r="D110" s="42">
        <v>45759.9</v>
      </c>
      <c r="E110" s="42">
        <v>45759.900694444441</v>
      </c>
      <c r="F110">
        <v>0</v>
      </c>
      <c r="G110">
        <v>26</v>
      </c>
      <c r="H110">
        <v>0</v>
      </c>
      <c r="I110" s="43">
        <f t="shared" si="4"/>
        <v>3.0092592592592595E-4</v>
      </c>
      <c r="J110" s="44">
        <f t="shared" si="5"/>
        <v>0</v>
      </c>
      <c r="K110" s="44">
        <f t="shared" si="6"/>
        <v>0</v>
      </c>
      <c r="L110" s="96"/>
      <c r="M110" s="50"/>
      <c r="N110" s="51"/>
    </row>
    <row r="111" spans="1:14" x14ac:dyDescent="0.25">
      <c r="A111" s="41" t="s">
        <v>381</v>
      </c>
      <c r="B111" s="41" t="s">
        <v>224</v>
      </c>
      <c r="C111" s="41" t="s">
        <v>225</v>
      </c>
      <c r="D111" s="42">
        <v>45759.87777777778</v>
      </c>
      <c r="E111" s="42">
        <v>45759.892361111109</v>
      </c>
      <c r="F111">
        <v>978</v>
      </c>
      <c r="G111">
        <v>1285</v>
      </c>
      <c r="H111">
        <v>1606.0070000000001</v>
      </c>
      <c r="I111" s="48">
        <f t="shared" si="4"/>
        <v>1.4872685185185185E-2</v>
      </c>
      <c r="J111" s="49">
        <f t="shared" si="5"/>
        <v>1.606007</v>
      </c>
      <c r="K111" s="49">
        <f t="shared" si="6"/>
        <v>4.7513664205138548</v>
      </c>
      <c r="L111" s="96" t="s">
        <v>401</v>
      </c>
      <c r="M111" s="50"/>
      <c r="N111" s="51"/>
    </row>
    <row r="112" spans="1:14" x14ac:dyDescent="0.25">
      <c r="A112" s="41" t="s">
        <v>382</v>
      </c>
      <c r="B112" s="41" t="s">
        <v>224</v>
      </c>
      <c r="C112" s="41" t="s">
        <v>225</v>
      </c>
      <c r="D112" s="42">
        <v>45759.757638888892</v>
      </c>
      <c r="E112" s="42">
        <v>45759.787499999999</v>
      </c>
      <c r="F112">
        <v>2254</v>
      </c>
      <c r="G112">
        <v>2582</v>
      </c>
      <c r="H112">
        <v>4218.7879999999996</v>
      </c>
      <c r="I112" s="43">
        <f t="shared" si="4"/>
        <v>2.988425925925926E-2</v>
      </c>
      <c r="J112" s="44">
        <f t="shared" si="5"/>
        <v>4.218788</v>
      </c>
      <c r="K112" s="44">
        <f t="shared" si="6"/>
        <v>12.481270404466979</v>
      </c>
      <c r="L112" s="96" t="s">
        <v>402</v>
      </c>
      <c r="M112" s="50"/>
      <c r="N112" s="51"/>
    </row>
    <row r="113" spans="1:14" x14ac:dyDescent="0.25">
      <c r="A113" s="41" t="s">
        <v>511</v>
      </c>
      <c r="B113" s="41" t="s">
        <v>224</v>
      </c>
      <c r="C113" s="41" t="s">
        <v>228</v>
      </c>
      <c r="D113" s="42">
        <v>45759.581250000003</v>
      </c>
      <c r="E113" s="42">
        <v>45759.629861111112</v>
      </c>
      <c r="F113">
        <v>3792</v>
      </c>
      <c r="G113">
        <v>4187</v>
      </c>
      <c r="H113">
        <v>9419.5580000000009</v>
      </c>
      <c r="I113" s="48">
        <f t="shared" si="4"/>
        <v>4.8460648148148149E-2</v>
      </c>
      <c r="J113" s="49">
        <f t="shared" si="5"/>
        <v>9.4195580000000003</v>
      </c>
      <c r="K113" s="49">
        <f t="shared" si="6"/>
        <v>27.867731322019548</v>
      </c>
      <c r="L113" s="101" t="s">
        <v>399</v>
      </c>
      <c r="M113" s="50"/>
      <c r="N113" s="51"/>
    </row>
    <row r="114" spans="1:14" x14ac:dyDescent="0.25">
      <c r="A114" s="41" t="s">
        <v>383</v>
      </c>
      <c r="B114" s="41" t="s">
        <v>224</v>
      </c>
      <c r="C114" s="41" t="s">
        <v>225</v>
      </c>
      <c r="D114" s="42">
        <v>45759.40902777778</v>
      </c>
      <c r="E114" s="42">
        <v>45759.504861111112</v>
      </c>
      <c r="F114">
        <v>7939</v>
      </c>
      <c r="G114">
        <v>8301</v>
      </c>
      <c r="H114">
        <v>6963.8530000000001</v>
      </c>
      <c r="I114" s="43">
        <f t="shared" si="4"/>
        <v>9.6076388888888892E-2</v>
      </c>
      <c r="J114" s="44">
        <f t="shared" si="5"/>
        <v>6.9638530000000003</v>
      </c>
      <c r="K114" s="44">
        <f t="shared" si="6"/>
        <v>20.602536166775529</v>
      </c>
      <c r="L114" s="96" t="s">
        <v>403</v>
      </c>
      <c r="M114" s="50"/>
      <c r="N114" s="51"/>
    </row>
    <row r="115" spans="1:14" x14ac:dyDescent="0.25">
      <c r="A115" s="41" t="s">
        <v>384</v>
      </c>
      <c r="B115" s="41" t="s">
        <v>224</v>
      </c>
      <c r="C115" s="41" t="s">
        <v>225</v>
      </c>
      <c r="D115" s="42">
        <v>45758.927083333336</v>
      </c>
      <c r="E115" s="42">
        <v>45758.958333333336</v>
      </c>
      <c r="F115">
        <v>2335</v>
      </c>
      <c r="G115">
        <v>2708</v>
      </c>
      <c r="H115">
        <v>5274.29</v>
      </c>
      <c r="I115" s="48">
        <f t="shared" si="4"/>
        <v>3.1342592592592596E-2</v>
      </c>
      <c r="J115" s="49">
        <f t="shared" si="5"/>
        <v>5.2742899999999997</v>
      </c>
      <c r="K115" s="49">
        <f t="shared" si="6"/>
        <v>15.603969595432657</v>
      </c>
      <c r="L115" s="96" t="s">
        <v>414</v>
      </c>
      <c r="M115" s="50"/>
      <c r="N115" s="51"/>
    </row>
    <row r="116" spans="1:14" x14ac:dyDescent="0.25">
      <c r="A116" s="41" t="s">
        <v>512</v>
      </c>
      <c r="B116" s="41" t="s">
        <v>224</v>
      </c>
      <c r="C116" s="41" t="s">
        <v>228</v>
      </c>
      <c r="D116" s="42">
        <v>45758.760416666664</v>
      </c>
      <c r="E116" s="42">
        <v>45758.804166666669</v>
      </c>
      <c r="F116">
        <v>3322</v>
      </c>
      <c r="G116">
        <v>3760</v>
      </c>
      <c r="H116">
        <v>9187.06</v>
      </c>
      <c r="I116" s="43">
        <f t="shared" si="4"/>
        <v>4.3518518518518519E-2</v>
      </c>
      <c r="J116" s="44">
        <f t="shared" si="5"/>
        <v>9.1870599999999989</v>
      </c>
      <c r="K116" s="44">
        <f t="shared" si="6"/>
        <v>27.179886754694099</v>
      </c>
      <c r="L116" s="101" t="s">
        <v>399</v>
      </c>
      <c r="M116" s="50"/>
      <c r="N116" s="51"/>
    </row>
    <row r="117" spans="1:14" x14ac:dyDescent="0.25">
      <c r="A117" s="41" t="s">
        <v>385</v>
      </c>
      <c r="B117" s="41" t="s">
        <v>224</v>
      </c>
      <c r="C117" s="41" t="s">
        <v>225</v>
      </c>
      <c r="D117" s="42">
        <v>45757.945833333331</v>
      </c>
      <c r="E117" s="42">
        <v>45757.959027777775</v>
      </c>
      <c r="F117">
        <v>833</v>
      </c>
      <c r="G117">
        <v>1119</v>
      </c>
      <c r="H117">
        <v>1339.8440000000001</v>
      </c>
      <c r="I117" s="48">
        <f t="shared" si="4"/>
        <v>1.2951388888888889E-2</v>
      </c>
      <c r="J117" s="49">
        <f t="shared" si="5"/>
        <v>1.339844</v>
      </c>
      <c r="K117" s="49">
        <f t="shared" si="6"/>
        <v>3.9639240615557498</v>
      </c>
      <c r="L117" s="96" t="s">
        <v>404</v>
      </c>
      <c r="M117" s="50"/>
      <c r="N117" s="51"/>
    </row>
    <row r="118" spans="1:14" x14ac:dyDescent="0.25">
      <c r="A118" s="41" t="s">
        <v>386</v>
      </c>
      <c r="B118" s="41" t="s">
        <v>224</v>
      </c>
      <c r="C118" s="41" t="s">
        <v>225</v>
      </c>
      <c r="D118" s="42">
        <v>45757.886805555558</v>
      </c>
      <c r="E118" s="42">
        <v>45757.92291666667</v>
      </c>
      <c r="F118">
        <v>2819</v>
      </c>
      <c r="G118">
        <v>3123</v>
      </c>
      <c r="H118">
        <v>2946.2689999999998</v>
      </c>
      <c r="I118" s="43">
        <f t="shared" si="4"/>
        <v>3.6145833333333335E-2</v>
      </c>
      <c r="J118" s="44">
        <f t="shared" si="5"/>
        <v>2.9462689999999996</v>
      </c>
      <c r="K118" s="44">
        <f t="shared" si="6"/>
        <v>8.7165271336930239</v>
      </c>
      <c r="L118" s="96" t="s">
        <v>371</v>
      </c>
      <c r="M118" s="50"/>
      <c r="N118" s="51"/>
    </row>
    <row r="119" spans="1:14" x14ac:dyDescent="0.25">
      <c r="A119" s="41" t="s">
        <v>387</v>
      </c>
      <c r="B119" s="41" t="s">
        <v>224</v>
      </c>
      <c r="C119" s="41" t="s">
        <v>225</v>
      </c>
      <c r="D119" s="42">
        <v>45757.813194444447</v>
      </c>
      <c r="E119" s="42">
        <v>45757.87777777778</v>
      </c>
      <c r="F119">
        <v>5197</v>
      </c>
      <c r="G119">
        <v>5576</v>
      </c>
      <c r="H119">
        <v>14250.53</v>
      </c>
      <c r="I119" s="48">
        <f t="shared" si="4"/>
        <v>6.4537037037037032E-2</v>
      </c>
      <c r="J119" s="49">
        <f t="shared" si="5"/>
        <v>14.250530000000001</v>
      </c>
      <c r="K119" s="49">
        <f t="shared" si="6"/>
        <v>42.1601460744102</v>
      </c>
      <c r="L119" s="101" t="s">
        <v>399</v>
      </c>
      <c r="M119" s="50"/>
      <c r="N119" s="51"/>
    </row>
    <row r="120" spans="1:14" x14ac:dyDescent="0.25">
      <c r="A120" s="41" t="s">
        <v>388</v>
      </c>
      <c r="B120" s="41" t="s">
        <v>224</v>
      </c>
      <c r="C120" s="41" t="s">
        <v>225</v>
      </c>
      <c r="D120" s="42">
        <v>45756.90347222222</v>
      </c>
      <c r="E120" s="42">
        <v>45756.920138888891</v>
      </c>
      <c r="F120">
        <v>1130</v>
      </c>
      <c r="G120">
        <v>1460</v>
      </c>
      <c r="H120">
        <v>2272.09</v>
      </c>
      <c r="I120" s="43">
        <f t="shared" si="4"/>
        <v>1.6898148148148148E-2</v>
      </c>
      <c r="J120" s="44">
        <f t="shared" si="5"/>
        <v>2.2720899999999999</v>
      </c>
      <c r="K120" s="44">
        <f t="shared" si="6"/>
        <v>6.7219707824345249</v>
      </c>
      <c r="L120" s="96" t="s">
        <v>405</v>
      </c>
      <c r="M120" s="50"/>
      <c r="N120" s="51"/>
    </row>
    <row r="121" spans="1:14" x14ac:dyDescent="0.25">
      <c r="A121" s="41" t="s">
        <v>389</v>
      </c>
      <c r="B121" s="41" t="s">
        <v>224</v>
      </c>
      <c r="C121" s="41" t="s">
        <v>225</v>
      </c>
      <c r="D121" s="42">
        <v>45756.791666666664</v>
      </c>
      <c r="E121" s="42">
        <v>45756.866666666669</v>
      </c>
      <c r="F121">
        <v>6022</v>
      </c>
      <c r="G121">
        <v>6481</v>
      </c>
      <c r="H121">
        <v>16394.202000000001</v>
      </c>
      <c r="I121" s="48">
        <f t="shared" si="4"/>
        <v>7.5011574074074078E-2</v>
      </c>
      <c r="J121" s="49">
        <f t="shared" si="5"/>
        <v>16.394202</v>
      </c>
      <c r="K121" s="49">
        <f t="shared" si="6"/>
        <v>48.502192626757591</v>
      </c>
      <c r="L121" s="96" t="s">
        <v>406</v>
      </c>
      <c r="M121" s="50"/>
      <c r="N121" s="51"/>
    </row>
    <row r="122" spans="1:14" x14ac:dyDescent="0.25">
      <c r="A122" s="41" t="s">
        <v>390</v>
      </c>
      <c r="B122" s="41" t="s">
        <v>224</v>
      </c>
      <c r="C122" s="41" t="s">
        <v>225</v>
      </c>
      <c r="D122" s="42">
        <v>45754.878472222219</v>
      </c>
      <c r="E122" s="42">
        <v>45754.938194444447</v>
      </c>
      <c r="F122">
        <v>4841</v>
      </c>
      <c r="G122">
        <v>5204</v>
      </c>
      <c r="H122">
        <v>8585.8410000000003</v>
      </c>
      <c r="I122" s="43">
        <f t="shared" si="4"/>
        <v>6.0231481481481483E-2</v>
      </c>
      <c r="J122" s="44">
        <f t="shared" si="5"/>
        <v>8.5858410000000003</v>
      </c>
      <c r="K122" s="44">
        <f t="shared" si="6"/>
        <v>25.401182323159919</v>
      </c>
      <c r="L122" s="96" t="s">
        <v>407</v>
      </c>
      <c r="M122" s="50"/>
      <c r="N122" s="51"/>
    </row>
    <row r="123" spans="1:14" x14ac:dyDescent="0.25">
      <c r="A123" s="41" t="s">
        <v>391</v>
      </c>
      <c r="B123" s="41" t="s">
        <v>224</v>
      </c>
      <c r="C123" s="41" t="s">
        <v>225</v>
      </c>
      <c r="D123" s="42">
        <v>45752.718055555553</v>
      </c>
      <c r="E123" s="42">
        <v>45752.82708333333</v>
      </c>
      <c r="F123">
        <v>9040</v>
      </c>
      <c r="G123">
        <v>9416</v>
      </c>
      <c r="H123">
        <v>26847.080999999998</v>
      </c>
      <c r="I123" s="48">
        <f t="shared" si="4"/>
        <v>0.10898148148148148</v>
      </c>
      <c r="J123" s="49">
        <f t="shared" si="5"/>
        <v>26.847080999999999</v>
      </c>
      <c r="K123" s="49">
        <f t="shared" si="6"/>
        <v>79.427000724290423</v>
      </c>
      <c r="L123" s="96" t="s">
        <v>408</v>
      </c>
      <c r="M123" s="50"/>
      <c r="N123" s="51"/>
    </row>
    <row r="124" spans="1:14" x14ac:dyDescent="0.25">
      <c r="A124" s="41" t="s">
        <v>326</v>
      </c>
      <c r="B124" s="41" t="s">
        <v>224</v>
      </c>
      <c r="C124" s="41" t="s">
        <v>225</v>
      </c>
      <c r="D124" s="42">
        <v>45752.658333333333</v>
      </c>
      <c r="E124" s="42">
        <v>45752.669444444444</v>
      </c>
      <c r="F124">
        <v>935</v>
      </c>
      <c r="G124">
        <v>970</v>
      </c>
      <c r="H124">
        <v>1317.567</v>
      </c>
      <c r="I124" s="43">
        <f t="shared" si="4"/>
        <v>1.1226851851851852E-2</v>
      </c>
      <c r="J124" s="44">
        <f t="shared" si="5"/>
        <v>1.3175669999999999</v>
      </c>
      <c r="K124" s="44">
        <f t="shared" si="6"/>
        <v>3.8980176304195298</v>
      </c>
      <c r="L124" s="96" t="s">
        <v>371</v>
      </c>
      <c r="M124" s="50"/>
      <c r="N124" s="51"/>
    </row>
    <row r="125" spans="1:14" x14ac:dyDescent="0.25">
      <c r="A125" s="41" t="s">
        <v>392</v>
      </c>
      <c r="B125" s="41" t="s">
        <v>224</v>
      </c>
      <c r="C125" s="41" t="s">
        <v>225</v>
      </c>
      <c r="D125" s="42">
        <v>45751.839583333334</v>
      </c>
      <c r="E125" s="42">
        <v>45751.911111111112</v>
      </c>
      <c r="F125">
        <v>5889</v>
      </c>
      <c r="G125">
        <v>6225</v>
      </c>
      <c r="H125">
        <v>8246.1409999999996</v>
      </c>
      <c r="I125" s="48">
        <f t="shared" si="4"/>
        <v>7.2048611111111105E-2</v>
      </c>
      <c r="J125" s="49">
        <f t="shared" si="5"/>
        <v>8.2461409999999997</v>
      </c>
      <c r="K125" s="49">
        <f t="shared" si="6"/>
        <v>24.396180991877703</v>
      </c>
      <c r="L125" s="96" t="s">
        <v>409</v>
      </c>
      <c r="M125" s="50"/>
      <c r="N125" s="51"/>
    </row>
    <row r="126" spans="1:14" x14ac:dyDescent="0.25">
      <c r="A126" s="41" t="s">
        <v>393</v>
      </c>
      <c r="B126" s="41" t="s">
        <v>224</v>
      </c>
      <c r="C126" s="41" t="s">
        <v>225</v>
      </c>
      <c r="D126" s="42">
        <v>45751.78125</v>
      </c>
      <c r="E126" s="42">
        <v>45751.813194444447</v>
      </c>
      <c r="F126">
        <v>2392</v>
      </c>
      <c r="G126">
        <v>2756</v>
      </c>
      <c r="H126">
        <v>5876.03</v>
      </c>
      <c r="I126" s="43">
        <f t="shared" si="4"/>
        <v>3.1898148148148148E-2</v>
      </c>
      <c r="J126" s="44">
        <f t="shared" si="5"/>
        <v>5.8760300000000001</v>
      </c>
      <c r="K126" s="44">
        <f t="shared" si="6"/>
        <v>17.384215403751057</v>
      </c>
      <c r="L126" s="96" t="s">
        <v>410</v>
      </c>
      <c r="M126" s="50"/>
      <c r="N126" s="51"/>
    </row>
    <row r="127" spans="1:14" x14ac:dyDescent="0.25">
      <c r="A127" s="41" t="s">
        <v>394</v>
      </c>
      <c r="B127" s="41" t="s">
        <v>224</v>
      </c>
      <c r="C127" s="41" t="s">
        <v>225</v>
      </c>
      <c r="D127" s="42">
        <v>45748.805555555555</v>
      </c>
      <c r="E127" s="42">
        <v>45748.852083333331</v>
      </c>
      <c r="F127">
        <v>3625</v>
      </c>
      <c r="G127">
        <v>4009</v>
      </c>
      <c r="H127">
        <v>6804.0940000000001</v>
      </c>
      <c r="I127" s="48">
        <f t="shared" si="4"/>
        <v>4.6400462962962963E-2</v>
      </c>
      <c r="J127" s="49">
        <f t="shared" si="5"/>
        <v>6.8040940000000001</v>
      </c>
      <c r="K127" s="49">
        <f t="shared" si="6"/>
        <v>20.129889691402212</v>
      </c>
      <c r="L127" s="96" t="s">
        <v>411</v>
      </c>
      <c r="M127" s="50"/>
      <c r="N127" s="51"/>
    </row>
    <row r="128" spans="1:14" x14ac:dyDescent="0.25">
      <c r="A128" s="41" t="s">
        <v>395</v>
      </c>
      <c r="B128" s="41" t="s">
        <v>224</v>
      </c>
      <c r="C128" s="41" t="s">
        <v>225</v>
      </c>
      <c r="D128" s="42">
        <v>45747.834027777775</v>
      </c>
      <c r="E128" s="42">
        <v>45747.87777777778</v>
      </c>
      <c r="F128">
        <v>3423</v>
      </c>
      <c r="G128">
        <v>3802</v>
      </c>
      <c r="H128">
        <v>7502.8310000000001</v>
      </c>
      <c r="I128" s="43">
        <f t="shared" si="4"/>
        <v>4.400462962962963E-2</v>
      </c>
      <c r="J128" s="44">
        <f t="shared" si="5"/>
        <v>7.5028310000000005</v>
      </c>
      <c r="K128" s="44">
        <f t="shared" si="6"/>
        <v>22.197100804785023</v>
      </c>
      <c r="L128" s="96" t="s">
        <v>413</v>
      </c>
      <c r="M128" s="50"/>
      <c r="N128" s="51"/>
    </row>
    <row r="129" spans="1:14" x14ac:dyDescent="0.25">
      <c r="A129" s="41" t="s">
        <v>363</v>
      </c>
      <c r="B129" s="41" t="s">
        <v>224</v>
      </c>
      <c r="C129" s="41" t="s">
        <v>225</v>
      </c>
      <c r="D129" s="42">
        <v>45746.87777777778</v>
      </c>
      <c r="E129" s="42">
        <v>45746.94027777778</v>
      </c>
      <c r="F129">
        <v>5025</v>
      </c>
      <c r="G129">
        <v>5433</v>
      </c>
      <c r="H129">
        <v>13582.825999999999</v>
      </c>
      <c r="I129" s="48">
        <f t="shared" si="4"/>
        <v>6.2881944444444449E-2</v>
      </c>
      <c r="J129" s="49">
        <f t="shared" si="5"/>
        <v>13.582825999999999</v>
      </c>
      <c r="K129" s="49">
        <f t="shared" si="6"/>
        <v>40.184745989327887</v>
      </c>
      <c r="L129" s="96" t="s">
        <v>370</v>
      </c>
      <c r="M129" s="50"/>
      <c r="N129" s="51"/>
    </row>
    <row r="130" spans="1:14" x14ac:dyDescent="0.25">
      <c r="A130" s="41" t="s">
        <v>364</v>
      </c>
      <c r="B130" s="41" t="s">
        <v>224</v>
      </c>
      <c r="C130" s="41" t="s">
        <v>225</v>
      </c>
      <c r="D130" s="42">
        <v>45746.750694444447</v>
      </c>
      <c r="E130" s="42">
        <v>45746.871527777781</v>
      </c>
      <c r="F130">
        <v>10057</v>
      </c>
      <c r="G130">
        <v>10469</v>
      </c>
      <c r="H130">
        <v>30128.868999999999</v>
      </c>
      <c r="I130" s="43">
        <f t="shared" si="4"/>
        <v>0.12116898148148147</v>
      </c>
      <c r="J130" s="44">
        <f t="shared" si="5"/>
        <v>30.128868999999998</v>
      </c>
      <c r="K130" s="44">
        <f t="shared" si="6"/>
        <v>89.136159714534756</v>
      </c>
      <c r="L130" s="96" t="s">
        <v>369</v>
      </c>
      <c r="M130" s="50"/>
      <c r="N130" s="51"/>
    </row>
    <row r="131" spans="1:14" x14ac:dyDescent="0.25">
      <c r="A131" s="41" t="s">
        <v>365</v>
      </c>
      <c r="B131" s="41" t="s">
        <v>224</v>
      </c>
      <c r="C131" s="41" t="s">
        <v>225</v>
      </c>
      <c r="D131" s="42">
        <v>45746.658333333333</v>
      </c>
      <c r="E131" s="42">
        <v>45746.744444444441</v>
      </c>
      <c r="F131">
        <v>7002</v>
      </c>
      <c r="G131">
        <v>7428</v>
      </c>
      <c r="H131">
        <v>28313.627</v>
      </c>
      <c r="I131" s="48">
        <f t="shared" ref="I131:I194" si="7">G131/86400</f>
        <v>8.5972222222222228E-2</v>
      </c>
      <c r="J131" s="49">
        <f t="shared" ref="J131:J194" si="8">H131/1000</f>
        <v>28.313627</v>
      </c>
      <c r="K131" s="49">
        <f t="shared" ref="K131:K194" si="9">1.23*PI()*(1.75/2)^2*H131/1000</f>
        <v>83.765772235584535</v>
      </c>
      <c r="L131" s="96" t="s">
        <v>368</v>
      </c>
      <c r="M131" s="50"/>
      <c r="N131" s="51"/>
    </row>
    <row r="132" spans="1:14" x14ac:dyDescent="0.25">
      <c r="A132" s="41" t="s">
        <v>340</v>
      </c>
      <c r="B132" s="41" t="s">
        <v>224</v>
      </c>
      <c r="C132" s="41" t="s">
        <v>225</v>
      </c>
      <c r="D132" s="42">
        <v>45746.393750000003</v>
      </c>
      <c r="E132" s="42">
        <v>45746.460416666669</v>
      </c>
      <c r="F132">
        <v>5348</v>
      </c>
      <c r="G132">
        <v>5802</v>
      </c>
      <c r="H132">
        <v>12518.496999999999</v>
      </c>
      <c r="I132" s="43">
        <f t="shared" si="7"/>
        <v>6.7152777777777783E-2</v>
      </c>
      <c r="J132" s="44">
        <f t="shared" si="8"/>
        <v>12.518497</v>
      </c>
      <c r="K132" s="44">
        <f t="shared" si="9"/>
        <v>37.035932147931746</v>
      </c>
      <c r="L132" s="96" t="s">
        <v>367</v>
      </c>
      <c r="M132" s="50"/>
      <c r="N132" s="51"/>
    </row>
    <row r="133" spans="1:14" x14ac:dyDescent="0.25">
      <c r="A133" s="41" t="s">
        <v>339</v>
      </c>
      <c r="B133" s="41" t="s">
        <v>224</v>
      </c>
      <c r="C133" s="41" t="s">
        <v>225</v>
      </c>
      <c r="D133" s="42">
        <v>45745.943055555559</v>
      </c>
      <c r="E133" s="42">
        <v>45745.953472222223</v>
      </c>
      <c r="F133">
        <v>308</v>
      </c>
      <c r="G133">
        <v>893</v>
      </c>
      <c r="H133">
        <v>478.99700000000001</v>
      </c>
      <c r="I133" s="48">
        <f t="shared" si="7"/>
        <v>1.0335648148148148E-2</v>
      </c>
      <c r="J133" s="49">
        <f t="shared" si="8"/>
        <v>0.47899700000000001</v>
      </c>
      <c r="K133" s="49">
        <f t="shared" si="9"/>
        <v>1.417111047042058</v>
      </c>
      <c r="L133" s="96" t="s">
        <v>371</v>
      </c>
      <c r="M133" s="50"/>
      <c r="N133" s="51"/>
    </row>
    <row r="134" spans="1:14" x14ac:dyDescent="0.25">
      <c r="A134" s="41" t="s">
        <v>340</v>
      </c>
      <c r="B134" s="41" t="s">
        <v>224</v>
      </c>
      <c r="C134" s="41" t="s">
        <v>225</v>
      </c>
      <c r="D134" s="42">
        <v>45745.859722222223</v>
      </c>
      <c r="E134" s="42">
        <v>45745.926388888889</v>
      </c>
      <c r="F134">
        <v>5332</v>
      </c>
      <c r="G134">
        <v>5775</v>
      </c>
      <c r="H134">
        <v>12259.101000000001</v>
      </c>
      <c r="I134" s="43">
        <f t="shared" si="7"/>
        <v>6.6840277777777776E-2</v>
      </c>
      <c r="J134" s="44">
        <f t="shared" si="8"/>
        <v>12.259101000000001</v>
      </c>
      <c r="K134" s="44">
        <f t="shared" si="9"/>
        <v>36.26850993618821</v>
      </c>
      <c r="L134" s="96" t="s">
        <v>366</v>
      </c>
      <c r="M134" s="50"/>
      <c r="N134" s="51"/>
    </row>
    <row r="135" spans="1:14" x14ac:dyDescent="0.25">
      <c r="A135" s="41" t="s">
        <v>341</v>
      </c>
      <c r="B135" s="41" t="s">
        <v>224</v>
      </c>
      <c r="C135" s="41" t="s">
        <v>225</v>
      </c>
      <c r="D135" s="42">
        <v>45745.725694444445</v>
      </c>
      <c r="E135" s="42">
        <v>45745.756249999999</v>
      </c>
      <c r="F135">
        <v>2288</v>
      </c>
      <c r="G135">
        <v>2655</v>
      </c>
      <c r="H135">
        <v>7278.05</v>
      </c>
      <c r="I135" s="48">
        <f t="shared" si="7"/>
        <v>3.0729166666666665E-2</v>
      </c>
      <c r="J135" s="49">
        <f t="shared" si="8"/>
        <v>7.2780500000000004</v>
      </c>
      <c r="K135" s="49">
        <f t="shared" si="9"/>
        <v>21.532086956545555</v>
      </c>
      <c r="L135" s="96" t="s">
        <v>372</v>
      </c>
      <c r="M135" s="50"/>
      <c r="N135" s="51"/>
    </row>
    <row r="136" spans="1:14" x14ac:dyDescent="0.25">
      <c r="A136" s="41" t="s">
        <v>342</v>
      </c>
      <c r="B136" s="41" t="s">
        <v>224</v>
      </c>
      <c r="C136" s="41" t="s">
        <v>225</v>
      </c>
      <c r="D136" s="42">
        <v>45743.870138888888</v>
      </c>
      <c r="E136" s="42">
        <v>45743.94027777778</v>
      </c>
      <c r="F136">
        <v>5719</v>
      </c>
      <c r="G136">
        <v>6059</v>
      </c>
      <c r="H136">
        <v>25191.969000000001</v>
      </c>
      <c r="I136" s="43">
        <f t="shared" si="7"/>
        <v>7.0127314814814809E-2</v>
      </c>
      <c r="J136" s="44">
        <f t="shared" si="8"/>
        <v>25.191969</v>
      </c>
      <c r="K136" s="44">
        <f t="shared" si="9"/>
        <v>74.530357322991733</v>
      </c>
      <c r="L136" s="96" t="s">
        <v>362</v>
      </c>
      <c r="M136" s="50"/>
      <c r="N136" s="51"/>
    </row>
    <row r="137" spans="1:14" x14ac:dyDescent="0.25">
      <c r="A137" s="41" t="s">
        <v>343</v>
      </c>
      <c r="B137" s="41" t="s">
        <v>224</v>
      </c>
      <c r="C137" s="41" t="s">
        <v>225</v>
      </c>
      <c r="D137" s="42">
        <v>45742.872916666667</v>
      </c>
      <c r="E137" s="42">
        <v>45742.893750000003</v>
      </c>
      <c r="F137">
        <v>1469</v>
      </c>
      <c r="G137">
        <v>1780</v>
      </c>
      <c r="H137">
        <v>3953.62</v>
      </c>
      <c r="I137" s="48">
        <f t="shared" si="7"/>
        <v>2.060185185185185E-2</v>
      </c>
      <c r="J137" s="49">
        <f t="shared" si="8"/>
        <v>3.9536199999999999</v>
      </c>
      <c r="K137" s="49">
        <f t="shared" si="9"/>
        <v>11.69677174973209</v>
      </c>
      <c r="L137" s="96" t="s">
        <v>412</v>
      </c>
      <c r="M137" s="50"/>
      <c r="N137" s="51"/>
    </row>
    <row r="138" spans="1:14" x14ac:dyDescent="0.25">
      <c r="A138" s="41" t="s">
        <v>344</v>
      </c>
      <c r="B138" s="41" t="s">
        <v>224</v>
      </c>
      <c r="C138" s="41" t="s">
        <v>225</v>
      </c>
      <c r="D138" s="42">
        <v>45742.85</v>
      </c>
      <c r="E138" s="42">
        <v>45742.864583333336</v>
      </c>
      <c r="F138">
        <v>957</v>
      </c>
      <c r="G138">
        <v>1290</v>
      </c>
      <c r="H138">
        <v>3822.3429999999998</v>
      </c>
      <c r="I138" s="43">
        <f t="shared" si="7"/>
        <v>1.4930555555555556E-2</v>
      </c>
      <c r="J138" s="44">
        <f t="shared" si="8"/>
        <v>3.822343</v>
      </c>
      <c r="K138" s="44">
        <f t="shared" si="9"/>
        <v>11.308389177560363</v>
      </c>
      <c r="L138" s="96" t="s">
        <v>412</v>
      </c>
      <c r="M138" s="50"/>
      <c r="N138" s="51"/>
    </row>
    <row r="139" spans="1:14" x14ac:dyDescent="0.25">
      <c r="A139" s="41" t="s">
        <v>344</v>
      </c>
      <c r="B139" s="41" t="s">
        <v>224</v>
      </c>
      <c r="C139" s="41" t="s">
        <v>225</v>
      </c>
      <c r="D139" s="42">
        <v>45741.918055555558</v>
      </c>
      <c r="E139" s="42">
        <v>45741.933333333334</v>
      </c>
      <c r="F139">
        <v>967</v>
      </c>
      <c r="G139">
        <v>1275</v>
      </c>
      <c r="H139">
        <v>3822.232</v>
      </c>
      <c r="I139" s="48">
        <f t="shared" si="7"/>
        <v>1.4756944444444444E-2</v>
      </c>
      <c r="J139" s="49">
        <f t="shared" si="8"/>
        <v>3.8222320000000001</v>
      </c>
      <c r="K139" s="49">
        <f t="shared" si="9"/>
        <v>11.308060784425914</v>
      </c>
      <c r="L139" s="96" t="s">
        <v>412</v>
      </c>
      <c r="M139" s="50"/>
      <c r="N139" s="51"/>
    </row>
    <row r="140" spans="1:14" x14ac:dyDescent="0.25">
      <c r="A140" s="41" t="s">
        <v>345</v>
      </c>
      <c r="B140" s="41" t="s">
        <v>224</v>
      </c>
      <c r="C140" s="41" t="s">
        <v>225</v>
      </c>
      <c r="D140" s="42">
        <v>45741.888888888891</v>
      </c>
      <c r="E140" s="42">
        <v>45741.905555555553</v>
      </c>
      <c r="F140">
        <v>1136</v>
      </c>
      <c r="G140">
        <v>1471</v>
      </c>
      <c r="H140">
        <v>3816.6129999999998</v>
      </c>
      <c r="I140" s="43">
        <f t="shared" si="7"/>
        <v>1.7025462962962964E-2</v>
      </c>
      <c r="J140" s="44">
        <f t="shared" si="8"/>
        <v>3.8166129999999998</v>
      </c>
      <c r="K140" s="44">
        <f t="shared" si="9"/>
        <v>11.291436991430698</v>
      </c>
      <c r="L140" s="96" t="s">
        <v>412</v>
      </c>
      <c r="M140" s="50"/>
      <c r="N140" s="51"/>
    </row>
    <row r="141" spans="1:14" x14ac:dyDescent="0.25">
      <c r="A141" s="41" t="s">
        <v>346</v>
      </c>
      <c r="B141" s="41" t="s">
        <v>224</v>
      </c>
      <c r="C141" s="41" t="s">
        <v>225</v>
      </c>
      <c r="D141" s="42">
        <v>45739.78402777778</v>
      </c>
      <c r="E141" s="42">
        <v>45739.861805555556</v>
      </c>
      <c r="F141">
        <v>6398</v>
      </c>
      <c r="G141">
        <v>6734</v>
      </c>
      <c r="H141">
        <v>22359.01</v>
      </c>
      <c r="I141" s="48">
        <f t="shared" si="7"/>
        <v>7.7939814814814809E-2</v>
      </c>
      <c r="J141" s="49">
        <f t="shared" si="8"/>
        <v>22.359009999999998</v>
      </c>
      <c r="K141" s="49">
        <f t="shared" si="9"/>
        <v>66.149057451140294</v>
      </c>
      <c r="L141" s="96" t="s">
        <v>362</v>
      </c>
      <c r="M141" s="50"/>
      <c r="N141" s="51"/>
    </row>
    <row r="142" spans="1:14" x14ac:dyDescent="0.25">
      <c r="A142" s="41" t="s">
        <v>347</v>
      </c>
      <c r="B142" s="41" t="s">
        <v>224</v>
      </c>
      <c r="C142" s="41" t="s">
        <v>225</v>
      </c>
      <c r="D142" s="42">
        <v>45738.899305555555</v>
      </c>
      <c r="E142" s="42">
        <v>45738.945833333331</v>
      </c>
      <c r="F142">
        <v>3678</v>
      </c>
      <c r="G142">
        <v>4031</v>
      </c>
      <c r="H142">
        <v>8428.36</v>
      </c>
      <c r="I142" s="43">
        <f t="shared" si="7"/>
        <v>4.6655092592592595E-2</v>
      </c>
      <c r="J142" s="44">
        <f t="shared" si="8"/>
        <v>8.4283600000000014</v>
      </c>
      <c r="K142" s="44">
        <f t="shared" si="9"/>
        <v>24.935275303284577</v>
      </c>
      <c r="L142" s="96"/>
      <c r="M142" s="50"/>
      <c r="N142" s="51"/>
    </row>
    <row r="143" spans="1:14" x14ac:dyDescent="0.25">
      <c r="A143" s="41" t="s">
        <v>348</v>
      </c>
      <c r="B143" s="41" t="s">
        <v>224</v>
      </c>
      <c r="C143" s="41" t="s">
        <v>225</v>
      </c>
      <c r="D143" s="42">
        <v>45738.878472222219</v>
      </c>
      <c r="E143" s="42">
        <v>45738.886805555558</v>
      </c>
      <c r="F143">
        <v>362</v>
      </c>
      <c r="G143">
        <v>692</v>
      </c>
      <c r="H143">
        <v>682.51700000000005</v>
      </c>
      <c r="I143" s="48">
        <f t="shared" si="7"/>
        <v>8.0092592592592594E-3</v>
      </c>
      <c r="J143" s="49">
        <f t="shared" si="8"/>
        <v>0.68251700000000004</v>
      </c>
      <c r="K143" s="49">
        <f t="shared" si="9"/>
        <v>2.0192242967993628</v>
      </c>
      <c r="L143" s="96"/>
      <c r="M143" s="50"/>
      <c r="N143" s="51"/>
    </row>
    <row r="144" spans="1:14" x14ac:dyDescent="0.25">
      <c r="A144" s="41" t="s">
        <v>349</v>
      </c>
      <c r="B144" s="41" t="s">
        <v>224</v>
      </c>
      <c r="C144" s="41" t="s">
        <v>225</v>
      </c>
      <c r="D144" s="42">
        <v>45738.772916666669</v>
      </c>
      <c r="E144" s="42">
        <v>45738.787499999999</v>
      </c>
      <c r="F144">
        <v>879</v>
      </c>
      <c r="G144">
        <v>1302</v>
      </c>
      <c r="H144">
        <v>3627.2350000000001</v>
      </c>
      <c r="I144" s="43">
        <f t="shared" si="7"/>
        <v>1.5069444444444444E-2</v>
      </c>
      <c r="J144" s="44">
        <f t="shared" si="8"/>
        <v>3.6272350000000002</v>
      </c>
      <c r="K144" s="44">
        <f t="shared" si="9"/>
        <v>10.731162802100222</v>
      </c>
      <c r="L144" s="96"/>
      <c r="M144" s="50"/>
      <c r="N144" s="51"/>
    </row>
    <row r="145" spans="1:14" x14ac:dyDescent="0.25">
      <c r="A145" s="41" t="s">
        <v>350</v>
      </c>
      <c r="B145" s="41" t="s">
        <v>224</v>
      </c>
      <c r="C145" s="41" t="s">
        <v>225</v>
      </c>
      <c r="D145" s="42">
        <v>45738.691666666666</v>
      </c>
      <c r="E145" s="42">
        <v>45738.732638888891</v>
      </c>
      <c r="F145">
        <v>3148</v>
      </c>
      <c r="G145">
        <v>3525</v>
      </c>
      <c r="H145">
        <v>9143.9809999999998</v>
      </c>
      <c r="I145" s="48">
        <f t="shared" si="7"/>
        <v>4.0798611111111112E-2</v>
      </c>
      <c r="J145" s="49">
        <f t="shared" si="8"/>
        <v>9.1439810000000001</v>
      </c>
      <c r="K145" s="49">
        <f t="shared" si="9"/>
        <v>27.052437675064112</v>
      </c>
      <c r="L145" s="96"/>
      <c r="M145" s="50"/>
      <c r="N145" s="51"/>
    </row>
    <row r="146" spans="1:14" x14ac:dyDescent="0.25">
      <c r="A146" s="41" t="s">
        <v>351</v>
      </c>
      <c r="B146" s="41" t="s">
        <v>224</v>
      </c>
      <c r="C146" s="41" t="s">
        <v>225</v>
      </c>
      <c r="D146" s="42">
        <v>45733.941666666666</v>
      </c>
      <c r="E146" s="42">
        <v>45733.952777777777</v>
      </c>
      <c r="F146">
        <v>655</v>
      </c>
      <c r="G146">
        <v>970</v>
      </c>
      <c r="H146">
        <v>1015.998</v>
      </c>
      <c r="I146" s="43">
        <f t="shared" si="7"/>
        <v>1.1226851851851852E-2</v>
      </c>
      <c r="J146" s="44">
        <f t="shared" si="8"/>
        <v>1.015998</v>
      </c>
      <c r="K146" s="44">
        <f t="shared" si="9"/>
        <v>3.0058267370623133</v>
      </c>
      <c r="L146" s="96"/>
      <c r="M146" s="50"/>
      <c r="N146" s="51"/>
    </row>
    <row r="147" spans="1:14" x14ac:dyDescent="0.25">
      <c r="A147" s="41" t="s">
        <v>352</v>
      </c>
      <c r="B147" s="41" t="s">
        <v>224</v>
      </c>
      <c r="C147" s="41" t="s">
        <v>225</v>
      </c>
      <c r="D147" s="42">
        <v>45733.930555555555</v>
      </c>
      <c r="E147" s="42">
        <v>45733.938194444447</v>
      </c>
      <c r="F147">
        <v>233</v>
      </c>
      <c r="G147">
        <v>656</v>
      </c>
      <c r="H147">
        <v>256.73200000000003</v>
      </c>
      <c r="I147" s="48">
        <f t="shared" si="7"/>
        <v>7.5925925925925926E-3</v>
      </c>
      <c r="J147" s="49">
        <f t="shared" si="8"/>
        <v>0.25673200000000002</v>
      </c>
      <c r="K147" s="49">
        <f t="shared" si="9"/>
        <v>0.75954077651676677</v>
      </c>
      <c r="L147" s="96"/>
      <c r="M147" s="50"/>
      <c r="N147" s="51"/>
    </row>
    <row r="148" spans="1:14" x14ac:dyDescent="0.25">
      <c r="A148" s="41" t="s">
        <v>353</v>
      </c>
      <c r="B148" s="41" t="s">
        <v>224</v>
      </c>
      <c r="C148" s="41" t="s">
        <v>225</v>
      </c>
      <c r="D148" s="42">
        <v>45733.917361111111</v>
      </c>
      <c r="E148" s="42">
        <v>45733.927777777775</v>
      </c>
      <c r="F148">
        <v>434</v>
      </c>
      <c r="G148">
        <v>871</v>
      </c>
      <c r="H148">
        <v>487.952</v>
      </c>
      <c r="I148" s="43">
        <f t="shared" si="7"/>
        <v>1.0081018518518519E-2</v>
      </c>
      <c r="J148" s="44">
        <f t="shared" si="8"/>
        <v>0.487952</v>
      </c>
      <c r="K148" s="44">
        <f t="shared" si="9"/>
        <v>1.4436043850509843</v>
      </c>
      <c r="L148" s="96"/>
      <c r="M148" s="50"/>
      <c r="N148" s="51"/>
    </row>
    <row r="149" spans="1:14" x14ac:dyDescent="0.25">
      <c r="A149" s="41" t="s">
        <v>354</v>
      </c>
      <c r="B149" s="41" t="s">
        <v>224</v>
      </c>
      <c r="C149" s="41" t="s">
        <v>225</v>
      </c>
      <c r="D149" s="42">
        <v>45732.664583333331</v>
      </c>
      <c r="E149" s="42">
        <v>45732.815972222219</v>
      </c>
      <c r="F149">
        <v>12275</v>
      </c>
      <c r="G149">
        <v>13100</v>
      </c>
      <c r="H149">
        <v>25742.605</v>
      </c>
      <c r="I149" s="48">
        <f t="shared" si="7"/>
        <v>0.15162037037037038</v>
      </c>
      <c r="J149" s="49">
        <f t="shared" si="8"/>
        <v>25.742605000000001</v>
      </c>
      <c r="K149" s="49">
        <f t="shared" si="9"/>
        <v>76.15941211560849</v>
      </c>
      <c r="L149" s="96"/>
      <c r="M149" s="50"/>
      <c r="N149" s="51"/>
    </row>
    <row r="150" spans="1:14" x14ac:dyDescent="0.25">
      <c r="A150" s="41" t="s">
        <v>355</v>
      </c>
      <c r="B150" s="41" t="s">
        <v>224</v>
      </c>
      <c r="C150" s="41" t="s">
        <v>225</v>
      </c>
      <c r="D150" s="42">
        <v>45732.492361111108</v>
      </c>
      <c r="E150" s="42">
        <v>45732.654166666667</v>
      </c>
      <c r="F150">
        <v>13511</v>
      </c>
      <c r="G150">
        <v>13982</v>
      </c>
      <c r="H150">
        <v>39812.050000000003</v>
      </c>
      <c r="I150" s="43">
        <f t="shared" si="7"/>
        <v>0.1618287037037037</v>
      </c>
      <c r="J150" s="44">
        <f t="shared" si="8"/>
        <v>39.812050000000006</v>
      </c>
      <c r="K150" s="44">
        <f t="shared" si="9"/>
        <v>117.78381881387728</v>
      </c>
      <c r="L150" s="96"/>
      <c r="M150" s="50"/>
      <c r="N150" s="51"/>
    </row>
    <row r="151" spans="1:14" x14ac:dyDescent="0.25">
      <c r="A151" s="41" t="s">
        <v>356</v>
      </c>
      <c r="B151" s="41" t="s">
        <v>224</v>
      </c>
      <c r="C151" s="41" t="s">
        <v>225</v>
      </c>
      <c r="D151" s="42">
        <v>45730.799305555556</v>
      </c>
      <c r="E151" s="42">
        <v>45730.836111111108</v>
      </c>
      <c r="F151">
        <v>2837</v>
      </c>
      <c r="G151">
        <v>3197</v>
      </c>
      <c r="H151">
        <v>7843.067</v>
      </c>
      <c r="I151" s="48">
        <f t="shared" si="7"/>
        <v>3.7002314814814814E-2</v>
      </c>
      <c r="J151" s="49">
        <f t="shared" si="8"/>
        <v>7.8430669999999996</v>
      </c>
      <c r="K151" s="49">
        <f t="shared" si="9"/>
        <v>23.203687890302056</v>
      </c>
      <c r="L151" s="96"/>
      <c r="M151" s="50"/>
      <c r="N151" s="51"/>
    </row>
    <row r="152" spans="1:14" x14ac:dyDescent="0.25">
      <c r="A152" s="41" t="s">
        <v>357</v>
      </c>
      <c r="B152" s="41" t="s">
        <v>224</v>
      </c>
      <c r="C152" s="41" t="s">
        <v>225</v>
      </c>
      <c r="D152" s="42">
        <v>45729.799305555556</v>
      </c>
      <c r="E152" s="42">
        <v>45729.86041666667</v>
      </c>
      <c r="F152">
        <v>4797</v>
      </c>
      <c r="G152">
        <v>5247</v>
      </c>
      <c r="H152">
        <v>13596.717000000001</v>
      </c>
      <c r="I152" s="43">
        <f t="shared" si="7"/>
        <v>6.0729166666666667E-2</v>
      </c>
      <c r="J152" s="44">
        <f t="shared" si="8"/>
        <v>13.596717</v>
      </c>
      <c r="K152" s="44">
        <f t="shared" si="9"/>
        <v>40.225842467081328</v>
      </c>
      <c r="L152" s="96"/>
      <c r="M152" s="50"/>
      <c r="N152" s="51"/>
    </row>
    <row r="153" spans="1:14" x14ac:dyDescent="0.25">
      <c r="A153" s="41" t="s">
        <v>358</v>
      </c>
      <c r="B153" s="41" t="s">
        <v>224</v>
      </c>
      <c r="C153" s="41" t="s">
        <v>225</v>
      </c>
      <c r="D153" s="42">
        <v>45728.831250000003</v>
      </c>
      <c r="E153" s="42">
        <v>45728.914583333331</v>
      </c>
      <c r="F153">
        <v>6774</v>
      </c>
      <c r="G153">
        <v>7246</v>
      </c>
      <c r="H153">
        <v>18326.821</v>
      </c>
      <c r="I153" s="48">
        <f t="shared" si="7"/>
        <v>8.3865740740740741E-2</v>
      </c>
      <c r="J153" s="49">
        <f t="shared" si="8"/>
        <v>18.326820999999999</v>
      </c>
      <c r="K153" s="49">
        <f t="shared" si="9"/>
        <v>54.21983957365574</v>
      </c>
      <c r="L153" s="96"/>
      <c r="M153" s="50"/>
      <c r="N153" s="51"/>
    </row>
    <row r="154" spans="1:14" x14ac:dyDescent="0.25">
      <c r="A154" s="41" t="s">
        <v>359</v>
      </c>
      <c r="B154" s="41" t="s">
        <v>224</v>
      </c>
      <c r="C154" s="41" t="s">
        <v>225</v>
      </c>
      <c r="D154" s="42">
        <v>45725.893750000003</v>
      </c>
      <c r="E154" s="42">
        <v>45725.968055555553</v>
      </c>
      <c r="F154">
        <v>6054</v>
      </c>
      <c r="G154">
        <v>6422</v>
      </c>
      <c r="H154">
        <v>17090.623</v>
      </c>
      <c r="I154" s="43">
        <f t="shared" si="7"/>
        <v>7.4328703703703702E-2</v>
      </c>
      <c r="J154" s="44">
        <f t="shared" si="8"/>
        <v>17.090623000000001</v>
      </c>
      <c r="K154" s="44">
        <f t="shared" si="9"/>
        <v>50.562551861767567</v>
      </c>
      <c r="L154" s="96"/>
      <c r="M154" s="50"/>
      <c r="N154" s="51"/>
    </row>
    <row r="155" spans="1:14" x14ac:dyDescent="0.25">
      <c r="A155" s="41" t="s">
        <v>360</v>
      </c>
      <c r="B155" s="41" t="s">
        <v>224</v>
      </c>
      <c r="C155" s="41" t="s">
        <v>225</v>
      </c>
      <c r="D155" s="42">
        <v>45724.909722222219</v>
      </c>
      <c r="E155" s="42">
        <v>45724.938888888886</v>
      </c>
      <c r="F155">
        <v>2191</v>
      </c>
      <c r="G155">
        <v>2531</v>
      </c>
      <c r="H155">
        <v>3885.9569999999999</v>
      </c>
      <c r="I155" s="48">
        <f t="shared" si="7"/>
        <v>2.929398148148148E-2</v>
      </c>
      <c r="J155" s="49">
        <f t="shared" si="8"/>
        <v>3.8859569999999999</v>
      </c>
      <c r="K155" s="49">
        <f t="shared" si="9"/>
        <v>11.496590987063415</v>
      </c>
      <c r="L155" s="96"/>
      <c r="M155" s="50"/>
      <c r="N155" s="51"/>
    </row>
    <row r="156" spans="1:14" x14ac:dyDescent="0.25">
      <c r="A156" s="41" t="s">
        <v>361</v>
      </c>
      <c r="B156" s="41" t="s">
        <v>224</v>
      </c>
      <c r="C156" s="41" t="s">
        <v>225</v>
      </c>
      <c r="D156" s="42">
        <v>45724.741666666669</v>
      </c>
      <c r="E156" s="42">
        <v>45724.893750000003</v>
      </c>
      <c r="F156">
        <v>12616</v>
      </c>
      <c r="G156">
        <v>13101</v>
      </c>
      <c r="H156">
        <v>18848.394</v>
      </c>
      <c r="I156" s="43">
        <f t="shared" si="7"/>
        <v>0.15163194444444444</v>
      </c>
      <c r="J156" s="44">
        <f t="shared" si="8"/>
        <v>18.848393999999999</v>
      </c>
      <c r="K156" s="44">
        <f t="shared" si="9"/>
        <v>55.762911576484292</v>
      </c>
      <c r="L156" s="96"/>
      <c r="M156" s="50"/>
      <c r="N156" s="51"/>
    </row>
    <row r="157" spans="1:14" x14ac:dyDescent="0.25">
      <c r="A157" s="41" t="s">
        <v>312</v>
      </c>
      <c r="B157" s="41" t="s">
        <v>224</v>
      </c>
      <c r="C157" s="41" t="s">
        <v>225</v>
      </c>
      <c r="D157" s="42">
        <v>45722.861111111109</v>
      </c>
      <c r="E157" s="42">
        <v>45722.883333333331</v>
      </c>
      <c r="F157">
        <v>1622</v>
      </c>
      <c r="G157">
        <v>1950</v>
      </c>
      <c r="H157">
        <v>3512.067</v>
      </c>
      <c r="I157" s="48">
        <f t="shared" si="7"/>
        <v>2.2569444444444444E-2</v>
      </c>
      <c r="J157" s="49">
        <f t="shared" si="8"/>
        <v>3.512067</v>
      </c>
      <c r="K157" s="49">
        <f t="shared" si="9"/>
        <v>10.390438653377494</v>
      </c>
      <c r="L157" s="96" t="s">
        <v>332</v>
      </c>
      <c r="M157" s="50"/>
      <c r="N157" s="51"/>
    </row>
    <row r="158" spans="1:14" x14ac:dyDescent="0.25">
      <c r="A158" s="41" t="s">
        <v>313</v>
      </c>
      <c r="B158" s="41" t="s">
        <v>224</v>
      </c>
      <c r="C158" s="41" t="s">
        <v>225</v>
      </c>
      <c r="D158" s="42">
        <v>45722.797222222223</v>
      </c>
      <c r="E158" s="42">
        <v>45722.836111111108</v>
      </c>
      <c r="F158">
        <v>2993</v>
      </c>
      <c r="G158">
        <v>3356</v>
      </c>
      <c r="H158">
        <v>6421.9480000000003</v>
      </c>
      <c r="I158" s="43">
        <f t="shared" si="7"/>
        <v>3.8842592592592595E-2</v>
      </c>
      <c r="J158" s="44">
        <f t="shared" si="8"/>
        <v>6.4219480000000004</v>
      </c>
      <c r="K158" s="44">
        <f t="shared" si="9"/>
        <v>18.999312008905381</v>
      </c>
      <c r="L158" s="96" t="s">
        <v>333</v>
      </c>
      <c r="M158" s="50"/>
      <c r="N158" s="51"/>
    </row>
    <row r="159" spans="1:14" x14ac:dyDescent="0.25">
      <c r="A159" s="41" t="s">
        <v>314</v>
      </c>
      <c r="B159" s="41" t="s">
        <v>224</v>
      </c>
      <c r="C159" s="41" t="s">
        <v>225</v>
      </c>
      <c r="D159" s="42">
        <v>45721.925000000003</v>
      </c>
      <c r="E159" s="42">
        <v>45721.949305555558</v>
      </c>
      <c r="F159">
        <v>1777</v>
      </c>
      <c r="G159">
        <v>2091</v>
      </c>
      <c r="H159">
        <v>4099.2359999999999</v>
      </c>
      <c r="I159" s="48">
        <f t="shared" si="7"/>
        <v>2.420138888888889E-2</v>
      </c>
      <c r="J159" s="49">
        <f t="shared" si="8"/>
        <v>4.0992359999999994</v>
      </c>
      <c r="K159" s="49">
        <f t="shared" si="9"/>
        <v>12.127576206181871</v>
      </c>
      <c r="L159" s="96" t="s">
        <v>334</v>
      </c>
      <c r="M159" s="50"/>
      <c r="N159" s="51"/>
    </row>
    <row r="160" spans="1:14" x14ac:dyDescent="0.25">
      <c r="A160" s="41" t="s">
        <v>315</v>
      </c>
      <c r="B160" s="41" t="s">
        <v>224</v>
      </c>
      <c r="C160" s="41" t="s">
        <v>225</v>
      </c>
      <c r="D160" s="42">
        <v>45721.898611111108</v>
      </c>
      <c r="E160" s="42">
        <v>45721.92291666667</v>
      </c>
      <c r="F160">
        <v>1700</v>
      </c>
      <c r="G160">
        <v>2059</v>
      </c>
      <c r="H160">
        <v>3342.973</v>
      </c>
      <c r="I160" s="43">
        <f t="shared" si="7"/>
        <v>2.3831018518518519E-2</v>
      </c>
      <c r="J160" s="44">
        <f t="shared" si="8"/>
        <v>3.3429729999999998</v>
      </c>
      <c r="K160" s="44">
        <f t="shared" si="9"/>
        <v>9.8901746112466888</v>
      </c>
      <c r="L160" s="96" t="s">
        <v>335</v>
      </c>
      <c r="M160" s="50"/>
      <c r="N160" s="51"/>
    </row>
    <row r="161" spans="1:14" x14ac:dyDescent="0.25">
      <c r="A161" s="41" t="s">
        <v>316</v>
      </c>
      <c r="B161" s="41" t="s">
        <v>224</v>
      </c>
      <c r="C161" s="41" t="s">
        <v>225</v>
      </c>
      <c r="D161" s="42">
        <v>45718.832638888889</v>
      </c>
      <c r="E161" s="42">
        <v>45718.885416666664</v>
      </c>
      <c r="F161">
        <v>4175</v>
      </c>
      <c r="G161">
        <v>4527</v>
      </c>
      <c r="H161">
        <v>6565.0510000000004</v>
      </c>
      <c r="I161" s="48">
        <f t="shared" si="7"/>
        <v>5.2395833333333336E-2</v>
      </c>
      <c r="J161" s="49">
        <f t="shared" si="8"/>
        <v>6.5650510000000004</v>
      </c>
      <c r="K161" s="49">
        <f t="shared" si="9"/>
        <v>19.422681763131109</v>
      </c>
      <c r="L161" s="96" t="s">
        <v>336</v>
      </c>
      <c r="M161" s="50"/>
      <c r="N161" s="51"/>
    </row>
    <row r="162" spans="1:14" x14ac:dyDescent="0.25">
      <c r="A162" s="41" t="s">
        <v>317</v>
      </c>
      <c r="B162" s="41" t="s">
        <v>224</v>
      </c>
      <c r="C162" s="41" t="s">
        <v>225</v>
      </c>
      <c r="D162" s="42">
        <v>45717.788194444445</v>
      </c>
      <c r="E162" s="42">
        <v>45717.811805555553</v>
      </c>
      <c r="F162">
        <v>1712</v>
      </c>
      <c r="G162">
        <v>2037</v>
      </c>
      <c r="H162">
        <v>3456.9259999999999</v>
      </c>
      <c r="I162" s="43">
        <f t="shared" si="7"/>
        <v>2.357638888888889E-2</v>
      </c>
      <c r="J162" s="44">
        <f t="shared" si="8"/>
        <v>3.4569259999999997</v>
      </c>
      <c r="K162" s="44">
        <f t="shared" si="9"/>
        <v>10.227304186470716</v>
      </c>
      <c r="L162" s="96" t="s">
        <v>337</v>
      </c>
      <c r="M162" s="50"/>
      <c r="N162" s="51"/>
    </row>
    <row r="163" spans="1:14" x14ac:dyDescent="0.25">
      <c r="A163" s="41" t="s">
        <v>318</v>
      </c>
      <c r="B163" s="41" t="s">
        <v>224</v>
      </c>
      <c r="C163" s="41" t="s">
        <v>225</v>
      </c>
      <c r="D163" s="42">
        <v>45717.757638888892</v>
      </c>
      <c r="E163" s="42">
        <v>45717.779861111114</v>
      </c>
      <c r="F163">
        <v>1583</v>
      </c>
      <c r="G163">
        <v>1915</v>
      </c>
      <c r="H163">
        <v>2748.0360000000001</v>
      </c>
      <c r="I163" s="48">
        <f t="shared" si="7"/>
        <v>2.2164351851851852E-2</v>
      </c>
      <c r="J163" s="49">
        <f t="shared" si="8"/>
        <v>2.7480359999999999</v>
      </c>
      <c r="K163" s="49">
        <f t="shared" si="9"/>
        <v>8.1300554560242961</v>
      </c>
      <c r="L163" s="96"/>
      <c r="M163" s="50"/>
      <c r="N163" s="51"/>
    </row>
    <row r="164" spans="1:14" x14ac:dyDescent="0.25">
      <c r="A164" s="41" t="s">
        <v>319</v>
      </c>
      <c r="B164" s="41" t="s">
        <v>224</v>
      </c>
      <c r="C164" s="41" t="s">
        <v>225</v>
      </c>
      <c r="D164" s="42">
        <v>45717.713194444441</v>
      </c>
      <c r="E164" s="42">
        <v>45717.731944444444</v>
      </c>
      <c r="F164">
        <v>1281</v>
      </c>
      <c r="G164">
        <v>1603</v>
      </c>
      <c r="H164">
        <v>2857.1819999999998</v>
      </c>
      <c r="I164" s="43">
        <f t="shared" si="7"/>
        <v>1.8553240740740742E-2</v>
      </c>
      <c r="J164" s="44">
        <f t="shared" si="8"/>
        <v>2.8571819999999999</v>
      </c>
      <c r="K164" s="44">
        <f t="shared" si="9"/>
        <v>8.4529635375789862</v>
      </c>
      <c r="L164" s="96"/>
      <c r="M164" s="50"/>
      <c r="N164" s="51"/>
    </row>
    <row r="165" spans="1:14" x14ac:dyDescent="0.25">
      <c r="A165" s="41" t="s">
        <v>320</v>
      </c>
      <c r="B165" s="41" t="s">
        <v>224</v>
      </c>
      <c r="C165" s="41" t="s">
        <v>225</v>
      </c>
      <c r="D165" s="42">
        <v>45717.620833333334</v>
      </c>
      <c r="E165" s="42">
        <v>45717.703472222223</v>
      </c>
      <c r="F165">
        <v>6413</v>
      </c>
      <c r="G165">
        <v>7117</v>
      </c>
      <c r="H165">
        <v>13455.605</v>
      </c>
      <c r="I165" s="48">
        <f t="shared" si="7"/>
        <v>8.2372685185185188E-2</v>
      </c>
      <c r="J165" s="49">
        <f t="shared" si="8"/>
        <v>13.455605</v>
      </c>
      <c r="K165" s="49">
        <f t="shared" si="9"/>
        <v>39.808363079798731</v>
      </c>
      <c r="L165" s="96"/>
      <c r="M165" s="50"/>
      <c r="N165" s="51"/>
    </row>
    <row r="166" spans="1:14" x14ac:dyDescent="0.25">
      <c r="A166" s="41" t="s">
        <v>321</v>
      </c>
      <c r="B166" s="41" t="s">
        <v>224</v>
      </c>
      <c r="C166" s="41" t="s">
        <v>225</v>
      </c>
      <c r="D166" s="42">
        <v>45717.492361111108</v>
      </c>
      <c r="E166" s="42">
        <v>45717.609027777777</v>
      </c>
      <c r="F166">
        <v>9245</v>
      </c>
      <c r="G166">
        <v>10061</v>
      </c>
      <c r="H166">
        <v>13494.194</v>
      </c>
      <c r="I166" s="43">
        <f t="shared" si="7"/>
        <v>0.11644675925925926</v>
      </c>
      <c r="J166" s="44">
        <f t="shared" si="8"/>
        <v>13.494194</v>
      </c>
      <c r="K166" s="44">
        <f t="shared" si="9"/>
        <v>39.922528509215418</v>
      </c>
      <c r="L166" s="96"/>
      <c r="M166" s="50"/>
      <c r="N166" s="51"/>
    </row>
    <row r="167" spans="1:14" x14ac:dyDescent="0.25">
      <c r="A167" s="41" t="s">
        <v>322</v>
      </c>
      <c r="B167" s="41" t="s">
        <v>224</v>
      </c>
      <c r="C167" s="41" t="s">
        <v>225</v>
      </c>
      <c r="D167" s="42">
        <v>45716.884722222225</v>
      </c>
      <c r="E167" s="42">
        <v>45716.895833333336</v>
      </c>
      <c r="F167">
        <v>523</v>
      </c>
      <c r="G167">
        <v>947</v>
      </c>
      <c r="H167">
        <v>693.09799999999996</v>
      </c>
      <c r="I167" s="48">
        <f t="shared" si="7"/>
        <v>1.0960648148148148E-2</v>
      </c>
      <c r="J167" s="49">
        <f t="shared" si="8"/>
        <v>0.69309799999999999</v>
      </c>
      <c r="K167" s="49">
        <f t="shared" si="9"/>
        <v>2.0505281504534612</v>
      </c>
      <c r="L167" s="96"/>
      <c r="M167" s="50"/>
      <c r="N167" s="51"/>
    </row>
    <row r="168" spans="1:14" x14ac:dyDescent="0.25">
      <c r="A168" s="41" t="s">
        <v>323</v>
      </c>
      <c r="B168" s="41" t="s">
        <v>224</v>
      </c>
      <c r="C168" s="41" t="s">
        <v>225</v>
      </c>
      <c r="D168" s="42">
        <v>45716.74722222222</v>
      </c>
      <c r="E168" s="42">
        <v>45716.85833333333</v>
      </c>
      <c r="F168">
        <v>9185</v>
      </c>
      <c r="G168">
        <v>9587</v>
      </c>
      <c r="H168">
        <v>13494.183999999999</v>
      </c>
      <c r="I168" s="43">
        <f t="shared" si="7"/>
        <v>0.11096064814814814</v>
      </c>
      <c r="J168" s="44">
        <f t="shared" si="8"/>
        <v>13.494183999999999</v>
      </c>
      <c r="K168" s="44">
        <f t="shared" si="9"/>
        <v>39.922498924248352</v>
      </c>
      <c r="L168" s="96"/>
      <c r="M168" s="50"/>
      <c r="N168" s="51"/>
    </row>
    <row r="169" spans="1:14" x14ac:dyDescent="0.25">
      <c r="A169" s="41" t="s">
        <v>324</v>
      </c>
      <c r="B169" s="41" t="s">
        <v>224</v>
      </c>
      <c r="C169" s="41" t="s">
        <v>225</v>
      </c>
      <c r="D169" s="42">
        <v>45715.843055555553</v>
      </c>
      <c r="E169" s="42">
        <v>45715.880555555559</v>
      </c>
      <c r="F169">
        <v>2931</v>
      </c>
      <c r="G169">
        <v>3267</v>
      </c>
      <c r="H169">
        <v>5660.3040000000001</v>
      </c>
      <c r="I169" s="48">
        <f t="shared" si="7"/>
        <v>3.7812499999999999E-2</v>
      </c>
      <c r="J169" s="49">
        <f t="shared" si="8"/>
        <v>5.660304</v>
      </c>
      <c r="K169" s="49">
        <f t="shared" si="9"/>
        <v>16.745990743191189</v>
      </c>
      <c r="L169" s="96"/>
      <c r="M169" s="50"/>
      <c r="N169" s="51"/>
    </row>
    <row r="170" spans="1:14" x14ac:dyDescent="0.25">
      <c r="A170" s="41" t="s">
        <v>325</v>
      </c>
      <c r="B170" s="41" t="s">
        <v>224</v>
      </c>
      <c r="C170" s="41" t="s">
        <v>225</v>
      </c>
      <c r="D170" s="42">
        <v>45714.902777777781</v>
      </c>
      <c r="E170" s="42">
        <v>45714.927083333336</v>
      </c>
      <c r="F170">
        <v>1682</v>
      </c>
      <c r="G170">
        <v>2053</v>
      </c>
      <c r="H170">
        <v>4451.8919999999998</v>
      </c>
      <c r="I170" s="43">
        <f t="shared" si="7"/>
        <v>2.3761574074074074E-2</v>
      </c>
      <c r="J170" s="44">
        <f t="shared" si="8"/>
        <v>4.451892</v>
      </c>
      <c r="K170" s="44">
        <f t="shared" si="9"/>
        <v>13.17090782079671</v>
      </c>
      <c r="L170" s="96"/>
      <c r="M170" s="50"/>
      <c r="N170" s="51"/>
    </row>
    <row r="171" spans="1:14" x14ac:dyDescent="0.25">
      <c r="A171" s="41" t="s">
        <v>326</v>
      </c>
      <c r="B171" s="41" t="s">
        <v>224</v>
      </c>
      <c r="C171" s="41" t="s">
        <v>225</v>
      </c>
      <c r="D171" s="42">
        <v>45713.927083333336</v>
      </c>
      <c r="E171" s="42">
        <v>45713.940972222219</v>
      </c>
      <c r="F171">
        <v>934</v>
      </c>
      <c r="G171">
        <v>1249</v>
      </c>
      <c r="H171">
        <v>1317.567</v>
      </c>
      <c r="I171" s="48">
        <f t="shared" si="7"/>
        <v>1.4456018518518519E-2</v>
      </c>
      <c r="J171" s="49">
        <f t="shared" si="8"/>
        <v>1.3175669999999999</v>
      </c>
      <c r="K171" s="49">
        <f t="shared" si="9"/>
        <v>3.8980176304195298</v>
      </c>
      <c r="L171" s="96"/>
      <c r="M171" s="50"/>
      <c r="N171" s="51"/>
    </row>
    <row r="172" spans="1:14" x14ac:dyDescent="0.25">
      <c r="A172" s="41" t="s">
        <v>327</v>
      </c>
      <c r="B172" s="41" t="s">
        <v>224</v>
      </c>
      <c r="C172" s="41" t="s">
        <v>225</v>
      </c>
      <c r="D172" s="42">
        <v>45713.913888888892</v>
      </c>
      <c r="E172" s="42">
        <v>45713.92291666667</v>
      </c>
      <c r="F172">
        <v>439</v>
      </c>
      <c r="G172">
        <v>789</v>
      </c>
      <c r="H172">
        <v>789.59799999999996</v>
      </c>
      <c r="I172" s="43">
        <f t="shared" si="7"/>
        <v>9.1319444444444443E-3</v>
      </c>
      <c r="J172" s="44">
        <f t="shared" si="8"/>
        <v>0.78959799999999991</v>
      </c>
      <c r="K172" s="44">
        <f t="shared" si="9"/>
        <v>2.33602308265462</v>
      </c>
      <c r="L172" s="96"/>
      <c r="M172" s="50"/>
      <c r="N172" s="51"/>
    </row>
    <row r="173" spans="1:14" x14ac:dyDescent="0.25">
      <c r="A173" s="41" t="s">
        <v>328</v>
      </c>
      <c r="B173" s="41" t="s">
        <v>224</v>
      </c>
      <c r="C173" s="41" t="s">
        <v>225</v>
      </c>
      <c r="D173" s="42">
        <v>45713.899305555555</v>
      </c>
      <c r="E173" s="42">
        <v>45713.913888888892</v>
      </c>
      <c r="F173">
        <v>936</v>
      </c>
      <c r="G173">
        <v>1244</v>
      </c>
      <c r="H173">
        <v>1359.693</v>
      </c>
      <c r="I173" s="48">
        <f t="shared" si="7"/>
        <v>1.4398148148148148E-2</v>
      </c>
      <c r="J173" s="49">
        <f t="shared" si="8"/>
        <v>1.359693</v>
      </c>
      <c r="K173" s="49">
        <f t="shared" si="9"/>
        <v>4.0226472626879861</v>
      </c>
      <c r="L173" s="96"/>
      <c r="M173" s="50"/>
      <c r="N173" s="51"/>
    </row>
    <row r="174" spans="1:14" x14ac:dyDescent="0.25">
      <c r="A174" s="41" t="s">
        <v>329</v>
      </c>
      <c r="B174" s="41" t="s">
        <v>224</v>
      </c>
      <c r="C174" s="41" t="s">
        <v>225</v>
      </c>
      <c r="D174" s="42">
        <v>45713.847222222219</v>
      </c>
      <c r="E174" s="42">
        <v>45713.892361111109</v>
      </c>
      <c r="F174">
        <v>3463</v>
      </c>
      <c r="G174">
        <v>3875</v>
      </c>
      <c r="H174">
        <v>7253.3339999999998</v>
      </c>
      <c r="I174" s="43">
        <f t="shared" si="7"/>
        <v>4.4849537037037035E-2</v>
      </c>
      <c r="J174" s="44">
        <f t="shared" si="8"/>
        <v>7.2533339999999997</v>
      </c>
      <c r="K174" s="44">
        <f t="shared" si="9"/>
        <v>21.458964751941579</v>
      </c>
      <c r="L174" s="96"/>
      <c r="M174" s="50"/>
      <c r="N174" s="51"/>
    </row>
    <row r="175" spans="1:14" x14ac:dyDescent="0.25">
      <c r="A175" s="41" t="s">
        <v>330</v>
      </c>
      <c r="B175" s="41" t="s">
        <v>224</v>
      </c>
      <c r="C175" s="41" t="s">
        <v>225</v>
      </c>
      <c r="D175" s="42">
        <v>45713.819444444445</v>
      </c>
      <c r="E175" s="42">
        <v>45713.843055555553</v>
      </c>
      <c r="F175">
        <v>1701</v>
      </c>
      <c r="G175">
        <v>2052</v>
      </c>
      <c r="H175">
        <v>2851.2730000000001</v>
      </c>
      <c r="I175" s="48">
        <f t="shared" si="7"/>
        <v>2.375E-2</v>
      </c>
      <c r="J175" s="49">
        <f t="shared" si="8"/>
        <v>2.8512729999999999</v>
      </c>
      <c r="K175" s="49">
        <f t="shared" si="9"/>
        <v>8.4354817805388134</v>
      </c>
      <c r="L175" s="96"/>
      <c r="M175" s="50"/>
      <c r="N175" s="51"/>
    </row>
    <row r="176" spans="1:14" x14ac:dyDescent="0.25">
      <c r="A176" s="41" t="s">
        <v>331</v>
      </c>
      <c r="B176" s="41" t="s">
        <v>224</v>
      </c>
      <c r="C176" s="41" t="s">
        <v>225</v>
      </c>
      <c r="D176" s="42">
        <v>45712.798611111109</v>
      </c>
      <c r="E176" s="42">
        <v>45712.842361111114</v>
      </c>
      <c r="F176">
        <v>3429</v>
      </c>
      <c r="G176">
        <v>3758</v>
      </c>
      <c r="H176">
        <v>5104.5469999999996</v>
      </c>
      <c r="I176" s="43">
        <f t="shared" si="7"/>
        <v>4.3495370370370372E-2</v>
      </c>
      <c r="J176" s="44">
        <f t="shared" si="8"/>
        <v>5.1045469999999993</v>
      </c>
      <c r="K176" s="44">
        <f t="shared" si="9"/>
        <v>15.101785488939171</v>
      </c>
      <c r="L176" s="96"/>
      <c r="M176" s="50"/>
      <c r="N176" s="51"/>
    </row>
    <row r="177" spans="1:14" x14ac:dyDescent="0.25">
      <c r="A177" s="41" t="s">
        <v>300</v>
      </c>
      <c r="B177" s="41" t="s">
        <v>224</v>
      </c>
      <c r="C177" s="41" t="s">
        <v>225</v>
      </c>
      <c r="D177" s="42">
        <v>45711.847222222219</v>
      </c>
      <c r="E177" s="42">
        <v>45711.95</v>
      </c>
      <c r="F177">
        <v>8470</v>
      </c>
      <c r="G177">
        <v>8907</v>
      </c>
      <c r="H177">
        <v>17620.686000000002</v>
      </c>
      <c r="I177" s="48">
        <f t="shared" si="7"/>
        <v>0.10309027777777778</v>
      </c>
      <c r="J177" s="49">
        <f t="shared" si="8"/>
        <v>17.620686000000003</v>
      </c>
      <c r="K177" s="49">
        <f t="shared" si="9"/>
        <v>52.130741501636408</v>
      </c>
      <c r="L177" s="96" t="s">
        <v>311</v>
      </c>
      <c r="M177" s="50"/>
      <c r="N177" s="51"/>
    </row>
    <row r="178" spans="1:14" x14ac:dyDescent="0.25">
      <c r="A178" s="41" t="s">
        <v>301</v>
      </c>
      <c r="B178" s="41" t="s">
        <v>224</v>
      </c>
      <c r="C178" s="41" t="s">
        <v>225</v>
      </c>
      <c r="D178" s="42">
        <v>45711.759722222225</v>
      </c>
      <c r="E178" s="42">
        <v>45711.813888888886</v>
      </c>
      <c r="F178">
        <v>4347</v>
      </c>
      <c r="G178">
        <v>4664</v>
      </c>
      <c r="H178">
        <v>12228.97</v>
      </c>
      <c r="I178" s="43">
        <f t="shared" si="7"/>
        <v>5.3981481481481484E-2</v>
      </c>
      <c r="J178" s="44">
        <f t="shared" si="8"/>
        <v>12.228969999999999</v>
      </c>
      <c r="K178" s="44">
        <f t="shared" si="9"/>
        <v>36.179367471917182</v>
      </c>
      <c r="L178" s="96"/>
      <c r="M178" s="50"/>
      <c r="N178" s="51"/>
    </row>
    <row r="179" spans="1:14" x14ac:dyDescent="0.25">
      <c r="A179" s="41" t="s">
        <v>302</v>
      </c>
      <c r="B179" s="41" t="s">
        <v>224</v>
      </c>
      <c r="C179" s="41" t="s">
        <v>225</v>
      </c>
      <c r="D179" s="42">
        <v>45711.634027777778</v>
      </c>
      <c r="E179" s="42">
        <v>45711.695833333331</v>
      </c>
      <c r="F179">
        <v>4986</v>
      </c>
      <c r="G179">
        <v>5312</v>
      </c>
      <c r="H179">
        <v>13305.727000000001</v>
      </c>
      <c r="I179" s="48">
        <f t="shared" si="7"/>
        <v>6.1481481481481484E-2</v>
      </c>
      <c r="J179" s="49">
        <f t="shared" si="8"/>
        <v>13.305727000000001</v>
      </c>
      <c r="K179" s="49">
        <f t="shared" si="9"/>
        <v>39.364949510384797</v>
      </c>
      <c r="L179" s="96"/>
      <c r="M179" s="50"/>
      <c r="N179" s="51"/>
    </row>
    <row r="180" spans="1:14" x14ac:dyDescent="0.25">
      <c r="A180" s="41" t="s">
        <v>303</v>
      </c>
      <c r="B180" s="41" t="s">
        <v>224</v>
      </c>
      <c r="C180" s="41" t="s">
        <v>225</v>
      </c>
      <c r="D180" s="42">
        <v>45711.612500000003</v>
      </c>
      <c r="E180" s="42">
        <v>45711.625694444447</v>
      </c>
      <c r="F180">
        <v>829</v>
      </c>
      <c r="G180">
        <v>1140</v>
      </c>
      <c r="H180">
        <v>1279.7370000000001</v>
      </c>
      <c r="I180" s="43">
        <f t="shared" si="7"/>
        <v>1.3194444444444444E-2</v>
      </c>
      <c r="J180" s="44">
        <f t="shared" si="8"/>
        <v>1.2797370000000001</v>
      </c>
      <c r="K180" s="44">
        <f t="shared" si="9"/>
        <v>3.7860977000032618</v>
      </c>
      <c r="L180" s="96"/>
      <c r="M180" s="50"/>
      <c r="N180" s="51"/>
    </row>
    <row r="181" spans="1:14" x14ac:dyDescent="0.25">
      <c r="A181" s="41" t="s">
        <v>303</v>
      </c>
      <c r="B181" s="41" t="s">
        <v>224</v>
      </c>
      <c r="C181" s="41" t="s">
        <v>225</v>
      </c>
      <c r="D181" s="42">
        <v>45711.594444444447</v>
      </c>
      <c r="E181" s="42">
        <v>45711.60833333333</v>
      </c>
      <c r="F181">
        <v>829</v>
      </c>
      <c r="G181">
        <v>1162</v>
      </c>
      <c r="H181">
        <v>1320.6210000000001</v>
      </c>
      <c r="I181" s="48">
        <f t="shared" si="7"/>
        <v>1.3449074074074073E-2</v>
      </c>
      <c r="J181" s="49">
        <f t="shared" si="8"/>
        <v>1.320621</v>
      </c>
      <c r="K181" s="49">
        <f t="shared" si="9"/>
        <v>3.9070528793619372</v>
      </c>
      <c r="L181" s="96"/>
      <c r="M181" s="50"/>
      <c r="N181" s="51"/>
    </row>
    <row r="182" spans="1:14" x14ac:dyDescent="0.25">
      <c r="A182" s="41" t="s">
        <v>304</v>
      </c>
      <c r="B182" s="41" t="s">
        <v>224</v>
      </c>
      <c r="C182" s="41" t="s">
        <v>225</v>
      </c>
      <c r="D182" s="42">
        <v>45710.927777777775</v>
      </c>
      <c r="E182" s="42">
        <v>45710.939583333333</v>
      </c>
      <c r="F182">
        <v>529</v>
      </c>
      <c r="G182">
        <v>992</v>
      </c>
      <c r="H182">
        <v>716.71600000000001</v>
      </c>
      <c r="I182" s="43">
        <f t="shared" si="7"/>
        <v>1.1481481481481481E-2</v>
      </c>
      <c r="J182" s="44">
        <f t="shared" si="8"/>
        <v>0.71671600000000002</v>
      </c>
      <c r="K182" s="44">
        <f t="shared" si="9"/>
        <v>2.1204019256734297</v>
      </c>
      <c r="L182" s="96"/>
      <c r="M182" s="50"/>
      <c r="N182" s="51"/>
    </row>
    <row r="183" spans="1:14" x14ac:dyDescent="0.25">
      <c r="A183" s="41" t="s">
        <v>305</v>
      </c>
      <c r="B183" s="41" t="s">
        <v>224</v>
      </c>
      <c r="C183" s="41" t="s">
        <v>225</v>
      </c>
      <c r="D183" s="42">
        <v>45710.826388888891</v>
      </c>
      <c r="E183" s="42">
        <v>45710.895138888889</v>
      </c>
      <c r="F183">
        <v>5513</v>
      </c>
      <c r="G183">
        <v>5948</v>
      </c>
      <c r="H183">
        <v>12207.709000000001</v>
      </c>
      <c r="I183" s="48">
        <f t="shared" si="7"/>
        <v>6.8842592592592594E-2</v>
      </c>
      <c r="J183" s="49">
        <f t="shared" si="8"/>
        <v>12.207709000000001</v>
      </c>
      <c r="K183" s="49">
        <f t="shared" si="9"/>
        <v>36.11646687343503</v>
      </c>
      <c r="L183" s="96"/>
      <c r="M183" s="50"/>
      <c r="N183" s="51"/>
    </row>
    <row r="184" spans="1:14" x14ac:dyDescent="0.25">
      <c r="A184" s="41" t="s">
        <v>306</v>
      </c>
      <c r="B184" s="41" t="s">
        <v>224</v>
      </c>
      <c r="C184" s="41" t="s">
        <v>225</v>
      </c>
      <c r="D184" s="42">
        <v>45710.626388888886</v>
      </c>
      <c r="E184" s="42">
        <v>45710.775694444441</v>
      </c>
      <c r="F184">
        <v>12493</v>
      </c>
      <c r="G184">
        <v>12912</v>
      </c>
      <c r="H184">
        <v>26744.835999999999</v>
      </c>
      <c r="I184" s="43">
        <f t="shared" si="7"/>
        <v>0.14944444444444444</v>
      </c>
      <c r="J184" s="44">
        <f t="shared" si="8"/>
        <v>26.744835999999999</v>
      </c>
      <c r="K184" s="44">
        <f t="shared" si="9"/>
        <v>79.124509228509012</v>
      </c>
      <c r="L184" s="96"/>
      <c r="M184" s="52"/>
      <c r="N184" s="53"/>
    </row>
    <row r="185" spans="1:14" x14ac:dyDescent="0.25">
      <c r="A185" s="41" t="s">
        <v>307</v>
      </c>
      <c r="B185" s="41" t="s">
        <v>224</v>
      </c>
      <c r="C185" s="41" t="s">
        <v>225</v>
      </c>
      <c r="D185" s="42">
        <v>45710.559027777781</v>
      </c>
      <c r="E185" s="42">
        <v>45710.601388888892</v>
      </c>
      <c r="F185">
        <v>3298</v>
      </c>
      <c r="G185">
        <v>3697</v>
      </c>
      <c r="H185">
        <v>9355.0419999999995</v>
      </c>
      <c r="I185" s="48">
        <f t="shared" si="7"/>
        <v>4.2789351851851849E-2</v>
      </c>
      <c r="J185" s="49">
        <f t="shared" si="8"/>
        <v>9.3550419999999992</v>
      </c>
      <c r="K185" s="49">
        <f t="shared" si="9"/>
        <v>27.676860948487004</v>
      </c>
      <c r="L185" s="96"/>
      <c r="M185" s="50"/>
      <c r="N185" s="51"/>
    </row>
    <row r="186" spans="1:14" x14ac:dyDescent="0.25">
      <c r="A186" s="41" t="s">
        <v>308</v>
      </c>
      <c r="B186" s="41" t="s">
        <v>224</v>
      </c>
      <c r="C186" s="41" t="s">
        <v>225</v>
      </c>
      <c r="D186" s="42">
        <v>45710.523611111108</v>
      </c>
      <c r="E186" s="42">
        <v>45710.549305555556</v>
      </c>
      <c r="F186">
        <v>1899</v>
      </c>
      <c r="G186">
        <v>2218</v>
      </c>
      <c r="H186">
        <v>2518.0700000000002</v>
      </c>
      <c r="I186" s="43">
        <f t="shared" si="7"/>
        <v>2.5671296296296296E-2</v>
      </c>
      <c r="J186" s="44">
        <f t="shared" si="8"/>
        <v>2.5180700000000003</v>
      </c>
      <c r="K186" s="44">
        <f t="shared" si="9"/>
        <v>7.4497018023603392</v>
      </c>
      <c r="L186" s="96"/>
      <c r="M186" s="50"/>
      <c r="N186" s="51"/>
    </row>
    <row r="187" spans="1:14" x14ac:dyDescent="0.25">
      <c r="A187" s="41" t="s">
        <v>309</v>
      </c>
      <c r="B187" s="41" t="s">
        <v>224</v>
      </c>
      <c r="C187" s="41" t="s">
        <v>225</v>
      </c>
      <c r="D187" s="42">
        <v>45710.435416666667</v>
      </c>
      <c r="E187" s="42">
        <v>45710.447916666664</v>
      </c>
      <c r="F187">
        <v>719</v>
      </c>
      <c r="G187">
        <v>1055</v>
      </c>
      <c r="H187">
        <v>1016.124</v>
      </c>
      <c r="I187" s="48">
        <f t="shared" si="7"/>
        <v>1.2210648148148148E-2</v>
      </c>
      <c r="J187" s="49">
        <f t="shared" si="8"/>
        <v>1.016124</v>
      </c>
      <c r="K187" s="49">
        <f t="shared" si="9"/>
        <v>3.0061995076473638</v>
      </c>
      <c r="L187" s="96"/>
      <c r="M187" s="50"/>
      <c r="N187" s="51"/>
    </row>
    <row r="188" spans="1:14" x14ac:dyDescent="0.25">
      <c r="A188" s="41" t="s">
        <v>310</v>
      </c>
      <c r="B188" s="41" t="s">
        <v>224</v>
      </c>
      <c r="C188" s="41" t="s">
        <v>225</v>
      </c>
      <c r="D188" s="42">
        <v>45709.816666666666</v>
      </c>
      <c r="E188" s="42">
        <v>45709.841666666667</v>
      </c>
      <c r="F188">
        <v>2129</v>
      </c>
      <c r="G188">
        <v>2165</v>
      </c>
      <c r="H188">
        <v>5206.9920000000002</v>
      </c>
      <c r="I188" s="43">
        <f t="shared" si="7"/>
        <v>2.5057870370370369E-2</v>
      </c>
      <c r="J188" s="44">
        <f t="shared" si="8"/>
        <v>5.2069920000000005</v>
      </c>
      <c r="K188" s="44">
        <f t="shared" si="9"/>
        <v>15.404868684061947</v>
      </c>
      <c r="L188" s="96"/>
      <c r="M188" s="52"/>
      <c r="N188" s="53"/>
    </row>
    <row r="189" spans="1:14" x14ac:dyDescent="0.25">
      <c r="A189" s="41" t="s">
        <v>293</v>
      </c>
      <c r="B189" s="41" t="s">
        <v>224</v>
      </c>
      <c r="C189" s="41" t="s">
        <v>225</v>
      </c>
      <c r="D189" s="42">
        <v>45708.901388888888</v>
      </c>
      <c r="E189" s="42">
        <v>45708.922222222223</v>
      </c>
      <c r="F189">
        <v>1506</v>
      </c>
      <c r="G189">
        <v>1818</v>
      </c>
      <c r="H189">
        <v>5042.1409999999996</v>
      </c>
      <c r="I189" s="48">
        <f t="shared" si="7"/>
        <v>2.1041666666666667E-2</v>
      </c>
      <c r="J189" s="49">
        <f t="shared" si="8"/>
        <v>5.042141</v>
      </c>
      <c r="K189" s="49">
        <f t="shared" si="9"/>
        <v>14.91715754345787</v>
      </c>
      <c r="L189" s="96" t="s">
        <v>299</v>
      </c>
      <c r="M189" s="47"/>
      <c r="N189" s="54"/>
    </row>
    <row r="190" spans="1:14" x14ac:dyDescent="0.25">
      <c r="A190" s="41" t="s">
        <v>294</v>
      </c>
      <c r="B190" s="41" t="s">
        <v>224</v>
      </c>
      <c r="C190" s="41" t="s">
        <v>225</v>
      </c>
      <c r="D190" s="42">
        <v>45708.786805555559</v>
      </c>
      <c r="E190" s="42">
        <v>45708.875694444447</v>
      </c>
      <c r="F190">
        <v>7296</v>
      </c>
      <c r="G190">
        <v>7675</v>
      </c>
      <c r="H190">
        <v>25091.038</v>
      </c>
      <c r="I190" s="43">
        <f t="shared" si="7"/>
        <v>8.8831018518518517E-2</v>
      </c>
      <c r="J190" s="44">
        <f t="shared" si="8"/>
        <v>25.091038000000001</v>
      </c>
      <c r="K190" s="44">
        <f t="shared" si="9"/>
        <v>74.231753291882967</v>
      </c>
      <c r="L190" s="96" t="s">
        <v>297</v>
      </c>
      <c r="M190" s="47"/>
      <c r="N190" s="54"/>
    </row>
    <row r="191" spans="1:14" x14ac:dyDescent="0.25">
      <c r="A191" s="41" t="s">
        <v>295</v>
      </c>
      <c r="B191" s="41" t="s">
        <v>224</v>
      </c>
      <c r="C191" s="41" t="s">
        <v>225</v>
      </c>
      <c r="D191" s="42">
        <v>45707.928472222222</v>
      </c>
      <c r="E191" s="42">
        <v>45707.93472222222</v>
      </c>
      <c r="F191">
        <v>207</v>
      </c>
      <c r="G191">
        <v>515</v>
      </c>
      <c r="H191">
        <v>382.86399999999998</v>
      </c>
      <c r="I191" s="48">
        <f t="shared" si="7"/>
        <v>5.9606481481481481E-3</v>
      </c>
      <c r="J191" s="49">
        <f t="shared" si="8"/>
        <v>0.38286399999999998</v>
      </c>
      <c r="K191" s="49">
        <f t="shared" si="9"/>
        <v>1.1327018831322753</v>
      </c>
      <c r="L191" s="96" t="s">
        <v>298</v>
      </c>
      <c r="M191" s="47"/>
      <c r="N191" s="54"/>
    </row>
    <row r="192" spans="1:14" x14ac:dyDescent="0.25">
      <c r="A192" s="41" t="s">
        <v>296</v>
      </c>
      <c r="B192" s="41" t="s">
        <v>224</v>
      </c>
      <c r="C192" s="41" t="s">
        <v>225</v>
      </c>
      <c r="D192" s="42">
        <v>45707.8125</v>
      </c>
      <c r="E192" s="42">
        <v>45707.878472222219</v>
      </c>
      <c r="F192">
        <v>5346</v>
      </c>
      <c r="G192">
        <v>5732</v>
      </c>
      <c r="H192">
        <v>14238.266</v>
      </c>
      <c r="I192" s="43">
        <f t="shared" si="7"/>
        <v>6.6342592592592592E-2</v>
      </c>
      <c r="J192" s="44">
        <f t="shared" si="8"/>
        <v>14.238265999999999</v>
      </c>
      <c r="K192" s="44">
        <f t="shared" si="9"/>
        <v>42.123863070798635</v>
      </c>
      <c r="L192" s="96"/>
      <c r="M192" s="47"/>
      <c r="N192" s="54"/>
    </row>
    <row r="193" spans="1:14" x14ac:dyDescent="0.25">
      <c r="A193" s="41" t="s">
        <v>238</v>
      </c>
      <c r="B193" s="41" t="s">
        <v>224</v>
      </c>
      <c r="C193" s="41" t="s">
        <v>225</v>
      </c>
      <c r="D193" s="42">
        <v>45704.740277777775</v>
      </c>
      <c r="E193" s="42">
        <v>45704.811805555553</v>
      </c>
      <c r="F193">
        <v>5641</v>
      </c>
      <c r="G193">
        <v>6152</v>
      </c>
      <c r="H193">
        <v>16559.915000000001</v>
      </c>
      <c r="I193" s="48">
        <f t="shared" si="7"/>
        <v>7.12037037037037E-2</v>
      </c>
      <c r="J193" s="49">
        <f t="shared" si="8"/>
        <v>16.559915</v>
      </c>
      <c r="K193" s="49">
        <f t="shared" si="9"/>
        <v>48.992453991522879</v>
      </c>
      <c r="L193" s="96" t="s">
        <v>249</v>
      </c>
      <c r="M193" s="47"/>
      <c r="N193" s="54"/>
    </row>
    <row r="194" spans="1:14" x14ac:dyDescent="0.25">
      <c r="A194" s="41" t="s">
        <v>239</v>
      </c>
      <c r="B194" s="41" t="s">
        <v>224</v>
      </c>
      <c r="C194" s="41" t="s">
        <v>225</v>
      </c>
      <c r="D194" s="42">
        <v>45704.484722222223</v>
      </c>
      <c r="E194" s="42">
        <v>45704.565972222219</v>
      </c>
      <c r="F194">
        <v>6539</v>
      </c>
      <c r="G194">
        <v>7022</v>
      </c>
      <c r="H194">
        <v>13434.633</v>
      </c>
      <c r="I194" s="43">
        <f t="shared" si="7"/>
        <v>8.127314814814815E-2</v>
      </c>
      <c r="J194" s="44">
        <f t="shared" si="8"/>
        <v>13.434633</v>
      </c>
      <c r="K194" s="44">
        <f t="shared" si="9"/>
        <v>39.746317486864811</v>
      </c>
      <c r="L194" s="96" t="s">
        <v>288</v>
      </c>
      <c r="M194" s="47"/>
      <c r="N194" s="54"/>
    </row>
    <row r="195" spans="1:14" x14ac:dyDescent="0.25">
      <c r="A195" s="41" t="s">
        <v>240</v>
      </c>
      <c r="B195" s="41" t="s">
        <v>224</v>
      </c>
      <c r="C195" s="41" t="s">
        <v>225</v>
      </c>
      <c r="D195" s="42">
        <v>45704.439583333333</v>
      </c>
      <c r="E195" s="42">
        <v>45704.451388888891</v>
      </c>
      <c r="F195">
        <v>679</v>
      </c>
      <c r="G195">
        <v>1014</v>
      </c>
      <c r="H195">
        <v>1163.665</v>
      </c>
      <c r="I195" s="48">
        <f t="shared" ref="I195:I259" si="10">G195/86400</f>
        <v>1.173611111111111E-2</v>
      </c>
      <c r="J195" s="49">
        <f t="shared" ref="J195:J259" si="11">H195/1000</f>
        <v>1.1636649999999999</v>
      </c>
      <c r="K195" s="49">
        <f t="shared" ref="K195:K259" si="12">1.23*PI()*(1.75/2)^2*H195/1000</f>
        <v>3.4426990702576354</v>
      </c>
      <c r="L195" s="96" t="s">
        <v>289</v>
      </c>
      <c r="M195" s="47"/>
      <c r="N195" s="55"/>
    </row>
    <row r="196" spans="1:14" x14ac:dyDescent="0.25">
      <c r="A196" s="41" t="s">
        <v>241</v>
      </c>
      <c r="B196" s="41" t="s">
        <v>224</v>
      </c>
      <c r="C196" s="41" t="s">
        <v>225</v>
      </c>
      <c r="D196" s="42">
        <v>45703.852083333331</v>
      </c>
      <c r="E196" s="42">
        <v>45703.885416666664</v>
      </c>
      <c r="F196">
        <v>2563</v>
      </c>
      <c r="G196">
        <v>2881</v>
      </c>
      <c r="H196">
        <v>8127.8739999999998</v>
      </c>
      <c r="I196" s="43">
        <f t="shared" si="10"/>
        <v>3.3344907407407406E-2</v>
      </c>
      <c r="J196" s="44">
        <f t="shared" si="11"/>
        <v>8.1278740000000003</v>
      </c>
      <c r="K196" s="44">
        <f t="shared" si="12"/>
        <v>24.046288461860765</v>
      </c>
      <c r="L196" s="96" t="s">
        <v>286</v>
      </c>
      <c r="M196" s="47"/>
      <c r="N196" s="55"/>
    </row>
    <row r="197" spans="1:14" x14ac:dyDescent="0.25">
      <c r="A197" s="41" t="s">
        <v>242</v>
      </c>
      <c r="B197" s="41" t="s">
        <v>224</v>
      </c>
      <c r="C197" s="41" t="s">
        <v>225</v>
      </c>
      <c r="D197" s="42">
        <v>45703.76458333333</v>
      </c>
      <c r="E197" s="42">
        <v>45703.81527777778</v>
      </c>
      <c r="F197">
        <v>4044</v>
      </c>
      <c r="G197">
        <v>4409</v>
      </c>
      <c r="H197">
        <v>11129.647000000001</v>
      </c>
      <c r="I197" s="48">
        <f t="shared" si="10"/>
        <v>5.1030092592592592E-2</v>
      </c>
      <c r="J197" s="49">
        <f t="shared" si="11"/>
        <v>11.129647</v>
      </c>
      <c r="K197" s="49">
        <f t="shared" si="12"/>
        <v>32.927023996765122</v>
      </c>
      <c r="L197" s="96" t="s">
        <v>285</v>
      </c>
      <c r="M197" s="47"/>
      <c r="N197" s="55"/>
    </row>
    <row r="198" spans="1:14" x14ac:dyDescent="0.25">
      <c r="A198" s="41" t="s">
        <v>243</v>
      </c>
      <c r="B198" s="41" t="s">
        <v>224</v>
      </c>
      <c r="C198" s="41" t="s">
        <v>225</v>
      </c>
      <c r="D198" s="42">
        <v>45703.634027777778</v>
      </c>
      <c r="E198" s="42">
        <v>45703.72152777778</v>
      </c>
      <c r="F198">
        <v>7187</v>
      </c>
      <c r="G198">
        <v>7579</v>
      </c>
      <c r="H198">
        <v>20456.456999999999</v>
      </c>
      <c r="I198" s="43">
        <f t="shared" si="10"/>
        <v>8.7719907407407413E-2</v>
      </c>
      <c r="J198" s="44">
        <f t="shared" si="11"/>
        <v>20.456456999999997</v>
      </c>
      <c r="K198" s="44">
        <f t="shared" si="12"/>
        <v>60.520360666227212</v>
      </c>
      <c r="L198" s="96" t="s">
        <v>287</v>
      </c>
      <c r="M198" s="47"/>
      <c r="N198" s="55"/>
    </row>
    <row r="199" spans="1:14" x14ac:dyDescent="0.25">
      <c r="A199" s="41" t="s">
        <v>215</v>
      </c>
      <c r="B199" s="41" t="s">
        <v>224</v>
      </c>
      <c r="C199" s="41" t="s">
        <v>225</v>
      </c>
      <c r="D199" s="42">
        <v>45700.811111111114</v>
      </c>
      <c r="E199" s="42">
        <v>45700.884722222225</v>
      </c>
      <c r="F199">
        <v>5969</v>
      </c>
      <c r="G199">
        <v>6347</v>
      </c>
      <c r="H199">
        <v>17702.598000000002</v>
      </c>
      <c r="I199" s="48">
        <f t="shared" si="10"/>
        <v>7.346064814814815E-2</v>
      </c>
      <c r="J199" s="49">
        <f t="shared" si="11"/>
        <v>17.702598000000002</v>
      </c>
      <c r="K199" s="49">
        <f t="shared" si="12"/>
        <v>52.373077883879539</v>
      </c>
      <c r="L199" s="97" t="s">
        <v>288</v>
      </c>
      <c r="M199" s="47"/>
      <c r="N199" s="55"/>
    </row>
    <row r="200" spans="1:14" x14ac:dyDescent="0.25">
      <c r="A200" s="41" t="s">
        <v>226</v>
      </c>
      <c r="B200" s="41" t="s">
        <v>224</v>
      </c>
      <c r="C200" s="41" t="s">
        <v>225</v>
      </c>
      <c r="D200" s="42">
        <v>45699.87222222222</v>
      </c>
      <c r="E200" s="42">
        <v>45699.881249999999</v>
      </c>
      <c r="F200">
        <v>472</v>
      </c>
      <c r="G200">
        <v>786</v>
      </c>
      <c r="H200">
        <v>522.98900000000003</v>
      </c>
      <c r="I200" s="43">
        <f t="shared" si="10"/>
        <v>9.0972222222222218E-3</v>
      </c>
      <c r="J200" s="44">
        <f t="shared" si="11"/>
        <v>0.52298900000000004</v>
      </c>
      <c r="K200" s="44">
        <f t="shared" si="12"/>
        <v>1.5472612341653058</v>
      </c>
      <c r="L200" s="96" t="s">
        <v>290</v>
      </c>
      <c r="M200" s="47"/>
      <c r="N200" s="55"/>
    </row>
    <row r="201" spans="1:14" x14ac:dyDescent="0.25">
      <c r="A201" s="41" t="s">
        <v>227</v>
      </c>
      <c r="B201" s="41" t="s">
        <v>224</v>
      </c>
      <c r="C201" s="41" t="s">
        <v>225</v>
      </c>
      <c r="D201" s="42">
        <v>45699.856249999997</v>
      </c>
      <c r="E201" s="42">
        <v>45699.865277777775</v>
      </c>
      <c r="F201">
        <v>434</v>
      </c>
      <c r="G201">
        <v>767</v>
      </c>
      <c r="H201">
        <v>314.56099999999998</v>
      </c>
      <c r="I201" s="48">
        <f t="shared" si="10"/>
        <v>8.8773148148148153E-3</v>
      </c>
      <c r="J201" s="49">
        <f t="shared" si="11"/>
        <v>0.31456099999999998</v>
      </c>
      <c r="K201" s="49">
        <f t="shared" si="12"/>
        <v>0.93062768257128292</v>
      </c>
      <c r="L201" s="96" t="s">
        <v>291</v>
      </c>
      <c r="M201" s="47"/>
      <c r="N201" s="55"/>
    </row>
    <row r="202" spans="1:14" x14ac:dyDescent="0.25">
      <c r="A202" s="41" t="s">
        <v>40</v>
      </c>
      <c r="B202" s="41" t="s">
        <v>224</v>
      </c>
      <c r="C202" s="41" t="s">
        <v>225</v>
      </c>
      <c r="D202" s="42">
        <v>45698.922222222223</v>
      </c>
      <c r="E202" s="42">
        <v>45698.931250000001</v>
      </c>
      <c r="F202">
        <v>332</v>
      </c>
      <c r="G202">
        <v>800</v>
      </c>
      <c r="H202">
        <v>372.06200000000001</v>
      </c>
      <c r="I202" s="43">
        <f t="shared" si="10"/>
        <v>9.2592592592592587E-3</v>
      </c>
      <c r="J202" s="44">
        <f t="shared" si="11"/>
        <v>0.372062</v>
      </c>
      <c r="K202" s="44">
        <f t="shared" si="12"/>
        <v>1.1007442017059861</v>
      </c>
      <c r="L202" s="96" t="s">
        <v>291</v>
      </c>
      <c r="M202" s="47"/>
      <c r="N202" s="55"/>
    </row>
    <row r="203" spans="1:14" x14ac:dyDescent="0.25">
      <c r="A203" s="41" t="s">
        <v>41</v>
      </c>
      <c r="B203" s="41" t="s">
        <v>224</v>
      </c>
      <c r="C203" s="41" t="s">
        <v>225</v>
      </c>
      <c r="D203" s="42">
        <v>45698.804861111108</v>
      </c>
      <c r="E203" s="42">
        <v>45698.907638888886</v>
      </c>
      <c r="F203">
        <v>8443</v>
      </c>
      <c r="G203">
        <v>8913</v>
      </c>
      <c r="H203">
        <v>30286.825000000001</v>
      </c>
      <c r="I203" s="48">
        <f t="shared" si="10"/>
        <v>0.10315972222222222</v>
      </c>
      <c r="J203" s="49">
        <f t="shared" si="11"/>
        <v>30.286825</v>
      </c>
      <c r="K203" s="49">
        <f t="shared" si="12"/>
        <v>89.603472020345819</v>
      </c>
      <c r="L203" s="97" t="s">
        <v>248</v>
      </c>
      <c r="M203" s="47"/>
      <c r="N203" s="55"/>
    </row>
    <row r="204" spans="1:14" x14ac:dyDescent="0.25">
      <c r="A204" s="41" t="s">
        <v>43</v>
      </c>
      <c r="B204" s="41" t="s">
        <v>224</v>
      </c>
      <c r="C204" s="41" t="s">
        <v>225</v>
      </c>
      <c r="D204" s="42">
        <v>45697.917361111111</v>
      </c>
      <c r="E204" s="42">
        <v>45697.925000000003</v>
      </c>
      <c r="F204">
        <v>371</v>
      </c>
      <c r="G204">
        <v>679</v>
      </c>
      <c r="H204">
        <v>409.28300000000002</v>
      </c>
      <c r="I204" s="43">
        <f t="shared" si="10"/>
        <v>7.858796296296296E-3</v>
      </c>
      <c r="J204" s="44">
        <f t="shared" si="11"/>
        <v>0.40928300000000001</v>
      </c>
      <c r="K204" s="44">
        <f t="shared" si="12"/>
        <v>1.2108624076278447</v>
      </c>
      <c r="L204" s="96" t="s">
        <v>291</v>
      </c>
      <c r="M204" s="47"/>
      <c r="N204" s="55"/>
    </row>
    <row r="205" spans="1:14" x14ac:dyDescent="0.25">
      <c r="A205" s="41" t="s">
        <v>44</v>
      </c>
      <c r="B205" s="41" t="s">
        <v>224</v>
      </c>
      <c r="C205" s="41" t="s">
        <v>225</v>
      </c>
      <c r="D205" s="42">
        <v>45697.895833333336</v>
      </c>
      <c r="E205" s="42">
        <v>45697.90625</v>
      </c>
      <c r="F205">
        <v>572</v>
      </c>
      <c r="G205">
        <v>884</v>
      </c>
      <c r="H205">
        <v>781.75699999999995</v>
      </c>
      <c r="I205" s="48">
        <f t="shared" si="10"/>
        <v>1.0231481481481482E-2</v>
      </c>
      <c r="J205" s="49">
        <f t="shared" si="11"/>
        <v>0.78175699999999992</v>
      </c>
      <c r="K205" s="49">
        <f t="shared" si="12"/>
        <v>2.312825509977011</v>
      </c>
      <c r="L205" s="96"/>
      <c r="M205" s="47"/>
      <c r="N205" s="55"/>
    </row>
    <row r="206" spans="1:14" x14ac:dyDescent="0.25">
      <c r="A206" s="41" t="s">
        <v>45</v>
      </c>
      <c r="B206" s="41" t="s">
        <v>224</v>
      </c>
      <c r="C206" s="41" t="s">
        <v>225</v>
      </c>
      <c r="D206" s="42">
        <v>45697.868055555555</v>
      </c>
      <c r="E206" s="42">
        <v>45697.874305555553</v>
      </c>
      <c r="F206">
        <v>172</v>
      </c>
      <c r="G206">
        <v>489</v>
      </c>
      <c r="H206">
        <v>230.71299999999999</v>
      </c>
      <c r="I206" s="43">
        <f t="shared" si="10"/>
        <v>5.6597222222222222E-3</v>
      </c>
      <c r="J206" s="44">
        <f t="shared" si="11"/>
        <v>0.230713</v>
      </c>
      <c r="K206" s="44">
        <f t="shared" si="12"/>
        <v>0.68256365070389657</v>
      </c>
      <c r="L206" s="96"/>
      <c r="M206" s="47"/>
      <c r="N206" s="55"/>
    </row>
    <row r="207" spans="1:14" x14ac:dyDescent="0.25">
      <c r="A207" s="41" t="s">
        <v>46</v>
      </c>
      <c r="B207" s="41" t="s">
        <v>224</v>
      </c>
      <c r="C207" s="41" t="s">
        <v>225</v>
      </c>
      <c r="D207" s="42">
        <v>45696.960416666669</v>
      </c>
      <c r="E207" s="42">
        <v>45696.96597222222</v>
      </c>
      <c r="F207">
        <v>397</v>
      </c>
      <c r="G207">
        <v>448</v>
      </c>
      <c r="H207">
        <v>595.01700000000005</v>
      </c>
      <c r="I207" s="48">
        <f t="shared" si="10"/>
        <v>5.185185185185185E-3</v>
      </c>
      <c r="J207" s="49">
        <f t="shared" si="11"/>
        <v>0.59501700000000002</v>
      </c>
      <c r="K207" s="49">
        <f t="shared" si="12"/>
        <v>1.7603558349589337</v>
      </c>
      <c r="L207" s="96"/>
      <c r="M207" s="47"/>
      <c r="N207" s="55"/>
    </row>
    <row r="208" spans="1:14" x14ac:dyDescent="0.25">
      <c r="A208" s="41" t="s">
        <v>47</v>
      </c>
      <c r="B208" s="41" t="s">
        <v>224</v>
      </c>
      <c r="C208" s="41" t="s">
        <v>225</v>
      </c>
      <c r="D208" s="42">
        <v>45696.927083333336</v>
      </c>
      <c r="E208" s="42">
        <v>45696.948611111111</v>
      </c>
      <c r="F208">
        <v>1573</v>
      </c>
      <c r="G208">
        <v>1891</v>
      </c>
      <c r="H208">
        <v>3687.7379999999998</v>
      </c>
      <c r="I208" s="43">
        <f t="shared" si="10"/>
        <v>2.1886574074074076E-2</v>
      </c>
      <c r="J208" s="44">
        <f t="shared" si="11"/>
        <v>3.687738</v>
      </c>
      <c r="K208" s="44">
        <f t="shared" si="12"/>
        <v>10.910160728348581</v>
      </c>
      <c r="L208" s="96"/>
      <c r="M208" s="47"/>
      <c r="N208" s="55"/>
    </row>
    <row r="209" spans="1:14" x14ac:dyDescent="0.25">
      <c r="A209" s="41" t="s">
        <v>48</v>
      </c>
      <c r="B209" s="41" t="s">
        <v>224</v>
      </c>
      <c r="C209" s="41" t="s">
        <v>225</v>
      </c>
      <c r="D209" s="42">
        <v>45696.868750000001</v>
      </c>
      <c r="E209" s="42">
        <v>45696.897916666669</v>
      </c>
      <c r="F209">
        <v>2219</v>
      </c>
      <c r="G209">
        <v>2550</v>
      </c>
      <c r="H209">
        <v>4093.7849999999999</v>
      </c>
      <c r="I209" s="48">
        <f t="shared" si="10"/>
        <v>2.9513888888888888E-2</v>
      </c>
      <c r="J209" s="49">
        <f t="shared" si="11"/>
        <v>4.0937849999999996</v>
      </c>
      <c r="K209" s="49">
        <f t="shared" si="12"/>
        <v>12.11144944063339</v>
      </c>
      <c r="L209" s="96"/>
      <c r="M209" s="47"/>
      <c r="N209" s="55"/>
    </row>
    <row r="210" spans="1:14" x14ac:dyDescent="0.25">
      <c r="A210" s="41" t="s">
        <v>513</v>
      </c>
      <c r="B210" s="41" t="s">
        <v>224</v>
      </c>
      <c r="C210" s="41" t="s">
        <v>228</v>
      </c>
      <c r="D210" s="42">
        <v>45696.847222222219</v>
      </c>
      <c r="E210" s="42">
        <v>45696.862500000003</v>
      </c>
      <c r="F210">
        <v>933</v>
      </c>
      <c r="G210">
        <v>1347</v>
      </c>
      <c r="H210">
        <v>3941.0390000000002</v>
      </c>
      <c r="I210" s="43">
        <f t="shared" si="10"/>
        <v>1.5590277777777778E-2</v>
      </c>
      <c r="J210" s="44">
        <f t="shared" si="11"/>
        <v>3.9410390000000004</v>
      </c>
      <c r="K210" s="44">
        <f t="shared" si="12"/>
        <v>11.659550902664497</v>
      </c>
      <c r="L210" s="96"/>
      <c r="M210" s="47"/>
      <c r="N210" s="55"/>
    </row>
    <row r="211" spans="1:14" x14ac:dyDescent="0.25">
      <c r="A211" s="41" t="s">
        <v>49</v>
      </c>
      <c r="B211" s="41" t="s">
        <v>224</v>
      </c>
      <c r="C211" s="41" t="s">
        <v>225</v>
      </c>
      <c r="D211" s="42">
        <v>45696.831250000003</v>
      </c>
      <c r="E211" s="42">
        <v>45696.84375</v>
      </c>
      <c r="F211">
        <v>784</v>
      </c>
      <c r="G211">
        <v>1090</v>
      </c>
      <c r="H211">
        <v>1009.418</v>
      </c>
      <c r="I211" s="48">
        <f t="shared" si="10"/>
        <v>1.2615740740740742E-2</v>
      </c>
      <c r="J211" s="49">
        <f t="shared" si="11"/>
        <v>1.0094179999999999</v>
      </c>
      <c r="K211" s="49">
        <f t="shared" si="12"/>
        <v>2.9863598287319131</v>
      </c>
      <c r="L211" s="96"/>
      <c r="M211" s="47"/>
      <c r="N211" s="55"/>
    </row>
    <row r="212" spans="1:14" x14ac:dyDescent="0.25">
      <c r="A212" s="41" t="s">
        <v>50</v>
      </c>
      <c r="B212" s="41" t="s">
        <v>224</v>
      </c>
      <c r="C212" s="41" t="s">
        <v>225</v>
      </c>
      <c r="D212" s="42">
        <v>45696.816666666666</v>
      </c>
      <c r="E212" s="42">
        <v>45696.827777777777</v>
      </c>
      <c r="F212">
        <v>611</v>
      </c>
      <c r="G212">
        <v>919</v>
      </c>
      <c r="H212">
        <v>981.18200000000002</v>
      </c>
      <c r="I212" s="43">
        <f t="shared" si="10"/>
        <v>1.0636574074074074E-2</v>
      </c>
      <c r="J212" s="44">
        <f t="shared" si="11"/>
        <v>0.981182</v>
      </c>
      <c r="K212" s="44">
        <f t="shared" si="12"/>
        <v>2.9028237157201833</v>
      </c>
      <c r="L212" s="96"/>
      <c r="M212" s="47"/>
      <c r="N212" s="55"/>
    </row>
    <row r="213" spans="1:14" x14ac:dyDescent="0.25">
      <c r="A213" s="41" t="s">
        <v>51</v>
      </c>
      <c r="B213" s="41" t="s">
        <v>224</v>
      </c>
      <c r="C213" s="41" t="s">
        <v>225</v>
      </c>
      <c r="D213" s="42">
        <v>45696.805555555555</v>
      </c>
      <c r="E213" s="42">
        <v>45696.811805555553</v>
      </c>
      <c r="F213">
        <v>263</v>
      </c>
      <c r="G213">
        <v>574</v>
      </c>
      <c r="H213">
        <v>356.73899999999998</v>
      </c>
      <c r="I213" s="48">
        <f t="shared" si="10"/>
        <v>6.6435185185185182E-3</v>
      </c>
      <c r="J213" s="49">
        <f t="shared" si="11"/>
        <v>0.35673899999999997</v>
      </c>
      <c r="K213" s="49">
        <f t="shared" si="12"/>
        <v>1.0554111566684901</v>
      </c>
      <c r="L213" s="96"/>
      <c r="M213" s="47"/>
      <c r="N213" s="55"/>
    </row>
    <row r="214" spans="1:14" x14ac:dyDescent="0.25">
      <c r="A214" s="41" t="s">
        <v>52</v>
      </c>
      <c r="B214" s="41" t="s">
        <v>224</v>
      </c>
      <c r="C214" s="41" t="s">
        <v>225</v>
      </c>
      <c r="D214" s="42">
        <v>45696.793749999997</v>
      </c>
      <c r="E214" s="42">
        <v>45696.803472222222</v>
      </c>
      <c r="F214">
        <v>385</v>
      </c>
      <c r="G214">
        <v>809</v>
      </c>
      <c r="H214">
        <v>598.702</v>
      </c>
      <c r="I214" s="43">
        <f t="shared" si="10"/>
        <v>9.3634259259259261E-3</v>
      </c>
      <c r="J214" s="44">
        <f t="shared" si="11"/>
        <v>0.59870199999999996</v>
      </c>
      <c r="K214" s="44">
        <f t="shared" si="12"/>
        <v>1.7712578953232989</v>
      </c>
      <c r="L214" s="96"/>
      <c r="M214" s="47"/>
      <c r="N214" s="55"/>
    </row>
    <row r="215" spans="1:14" x14ac:dyDescent="0.25">
      <c r="A215" s="41" t="s">
        <v>53</v>
      </c>
      <c r="B215" s="41" t="s">
        <v>224</v>
      </c>
      <c r="C215" s="41" t="s">
        <v>225</v>
      </c>
      <c r="D215" s="42">
        <v>45696.763888888891</v>
      </c>
      <c r="E215" s="42">
        <v>45696.785416666666</v>
      </c>
      <c r="F215">
        <v>1505</v>
      </c>
      <c r="G215">
        <v>1864</v>
      </c>
      <c r="H215">
        <v>5092.915</v>
      </c>
      <c r="I215" s="48">
        <f t="shared" si="10"/>
        <v>2.1574074074074075E-2</v>
      </c>
      <c r="J215" s="49">
        <f t="shared" si="11"/>
        <v>5.0929149999999996</v>
      </c>
      <c r="K215" s="49">
        <f t="shared" si="12"/>
        <v>15.067372255246282</v>
      </c>
      <c r="L215" s="96"/>
      <c r="M215" s="47"/>
      <c r="N215" s="55"/>
    </row>
    <row r="216" spans="1:14" x14ac:dyDescent="0.25">
      <c r="A216" s="41" t="s">
        <v>54</v>
      </c>
      <c r="B216" s="41" t="s">
        <v>224</v>
      </c>
      <c r="C216" s="41" t="s">
        <v>225</v>
      </c>
      <c r="D216" s="42">
        <v>45696.724999999999</v>
      </c>
      <c r="E216" s="42">
        <v>45696.750694444447</v>
      </c>
      <c r="F216">
        <v>1899</v>
      </c>
      <c r="G216">
        <v>2239</v>
      </c>
      <c r="H216">
        <v>2640.2040000000002</v>
      </c>
      <c r="I216" s="43">
        <f t="shared" si="10"/>
        <v>2.5914351851851852E-2</v>
      </c>
      <c r="J216" s="44">
        <f t="shared" si="11"/>
        <v>2.6402040000000002</v>
      </c>
      <c r="K216" s="44">
        <f t="shared" si="12"/>
        <v>7.8110348391422706</v>
      </c>
      <c r="L216" s="96"/>
      <c r="M216" s="47"/>
      <c r="N216" s="55"/>
    </row>
    <row r="217" spans="1:14" x14ac:dyDescent="0.25">
      <c r="A217" s="41" t="s">
        <v>56</v>
      </c>
      <c r="B217" s="41" t="s">
        <v>224</v>
      </c>
      <c r="C217" s="41" t="s">
        <v>225</v>
      </c>
      <c r="D217" s="42">
        <v>45695.82708333333</v>
      </c>
      <c r="E217" s="42">
        <v>45695.841666666667</v>
      </c>
      <c r="F217">
        <v>946</v>
      </c>
      <c r="G217">
        <v>1274</v>
      </c>
      <c r="H217">
        <v>1462.943</v>
      </c>
      <c r="I217" s="48">
        <f t="shared" si="10"/>
        <v>1.474537037037037E-2</v>
      </c>
      <c r="J217" s="49">
        <f t="shared" si="11"/>
        <v>1.4629429999999999</v>
      </c>
      <c r="K217" s="49">
        <f t="shared" si="12"/>
        <v>4.3281120476596922</v>
      </c>
      <c r="L217" s="96"/>
      <c r="M217" s="47"/>
      <c r="N217" s="55"/>
    </row>
    <row r="218" spans="1:14" x14ac:dyDescent="0.25">
      <c r="A218" s="41" t="s">
        <v>57</v>
      </c>
      <c r="B218" s="41" t="s">
        <v>224</v>
      </c>
      <c r="C218" s="41" t="s">
        <v>225</v>
      </c>
      <c r="D218" s="42">
        <v>45691.793055555558</v>
      </c>
      <c r="E218" s="42">
        <v>45691.902777777781</v>
      </c>
      <c r="F218">
        <v>9079</v>
      </c>
      <c r="G218">
        <v>9447</v>
      </c>
      <c r="H218">
        <v>34393.156999999999</v>
      </c>
      <c r="I218" s="43">
        <f t="shared" si="10"/>
        <v>0.10934027777777777</v>
      </c>
      <c r="J218" s="44">
        <f t="shared" si="11"/>
        <v>34.393157000000002</v>
      </c>
      <c r="K218" s="44">
        <f t="shared" si="12"/>
        <v>101.75204171915877</v>
      </c>
      <c r="L218" s="96"/>
      <c r="M218" s="47"/>
      <c r="N218" s="55"/>
    </row>
    <row r="219" spans="1:14" x14ac:dyDescent="0.25">
      <c r="A219" s="41" t="s">
        <v>58</v>
      </c>
      <c r="B219" s="41" t="s">
        <v>224</v>
      </c>
      <c r="C219" s="41" t="s">
        <v>225</v>
      </c>
      <c r="D219" s="42">
        <v>45690.85833333333</v>
      </c>
      <c r="E219" s="42">
        <v>45690.863194444442</v>
      </c>
      <c r="F219">
        <v>368</v>
      </c>
      <c r="G219">
        <v>419</v>
      </c>
      <c r="H219">
        <v>594.81700000000001</v>
      </c>
      <c r="I219" s="48">
        <f t="shared" si="10"/>
        <v>4.8495370370370368E-3</v>
      </c>
      <c r="J219" s="49">
        <f t="shared" si="11"/>
        <v>0.59481700000000004</v>
      </c>
      <c r="K219" s="49">
        <f t="shared" si="12"/>
        <v>1.7597641356175842</v>
      </c>
      <c r="L219" s="96"/>
      <c r="M219" s="47"/>
      <c r="N219" s="55"/>
    </row>
    <row r="220" spans="1:14" x14ac:dyDescent="0.25">
      <c r="A220" s="41" t="s">
        <v>59</v>
      </c>
      <c r="B220" s="41" t="s">
        <v>224</v>
      </c>
      <c r="C220" s="41" t="s">
        <v>225</v>
      </c>
      <c r="D220" s="42">
        <v>45690.686111111114</v>
      </c>
      <c r="E220" s="42">
        <v>45690.843055555553</v>
      </c>
      <c r="F220">
        <v>13167</v>
      </c>
      <c r="G220">
        <v>13552</v>
      </c>
      <c r="H220">
        <v>43814.218000000001</v>
      </c>
      <c r="I220" s="43">
        <f t="shared" si="10"/>
        <v>0.15685185185185185</v>
      </c>
      <c r="J220" s="44">
        <f t="shared" si="11"/>
        <v>43.814218000000004</v>
      </c>
      <c r="K220" s="44">
        <f t="shared" si="12"/>
        <v>129.62421966172855</v>
      </c>
      <c r="L220" s="96"/>
      <c r="M220" s="47"/>
      <c r="N220" s="55"/>
    </row>
    <row r="221" spans="1:14" x14ac:dyDescent="0.25">
      <c r="A221" s="41" t="s">
        <v>60</v>
      </c>
      <c r="B221" s="41" t="s">
        <v>224</v>
      </c>
      <c r="C221" s="41" t="s">
        <v>225</v>
      </c>
      <c r="D221" s="42">
        <v>45689.941666666666</v>
      </c>
      <c r="E221" s="42">
        <v>45689.96597222222</v>
      </c>
      <c r="F221">
        <v>1842</v>
      </c>
      <c r="G221">
        <v>2149</v>
      </c>
      <c r="H221">
        <v>5822.2730000000001</v>
      </c>
      <c r="I221" s="48">
        <f t="shared" si="10"/>
        <v>2.4872685185185185E-2</v>
      </c>
      <c r="J221" s="49">
        <f t="shared" si="11"/>
        <v>5.822273</v>
      </c>
      <c r="K221" s="49">
        <f t="shared" si="12"/>
        <v>17.225175496286418</v>
      </c>
      <c r="L221" s="96" t="s">
        <v>284</v>
      </c>
      <c r="M221" s="47"/>
      <c r="N221" s="55"/>
    </row>
    <row r="222" spans="1:14" x14ac:dyDescent="0.25">
      <c r="A222" s="41" t="s">
        <v>61</v>
      </c>
      <c r="B222" s="41" t="s">
        <v>224</v>
      </c>
      <c r="C222" s="41" t="s">
        <v>225</v>
      </c>
      <c r="D222" s="42">
        <v>45689.86041666667</v>
      </c>
      <c r="E222" s="42">
        <v>45689.925000000003</v>
      </c>
      <c r="F222">
        <v>5263</v>
      </c>
      <c r="G222">
        <v>5581</v>
      </c>
      <c r="H222">
        <v>15385.663</v>
      </c>
      <c r="I222" s="43">
        <f t="shared" si="10"/>
        <v>6.4594907407407406E-2</v>
      </c>
      <c r="J222" s="44">
        <f t="shared" si="11"/>
        <v>15.385663000000001</v>
      </c>
      <c r="K222" s="44">
        <f t="shared" si="12"/>
        <v>45.518433316630905</v>
      </c>
      <c r="L222" s="96"/>
      <c r="M222" s="47"/>
      <c r="N222" s="55"/>
    </row>
    <row r="223" spans="1:14" x14ac:dyDescent="0.25">
      <c r="A223" s="41" t="s">
        <v>62</v>
      </c>
      <c r="B223" s="41" t="s">
        <v>224</v>
      </c>
      <c r="C223" s="41" t="s">
        <v>225</v>
      </c>
      <c r="D223" s="42">
        <v>45689.759722222225</v>
      </c>
      <c r="E223" s="42">
        <v>45689.839583333334</v>
      </c>
      <c r="F223">
        <v>6535</v>
      </c>
      <c r="G223">
        <v>6883</v>
      </c>
      <c r="H223">
        <v>16010.982</v>
      </c>
      <c r="I223" s="48">
        <f t="shared" si="10"/>
        <v>7.9664351851851847E-2</v>
      </c>
      <c r="J223" s="49">
        <f t="shared" si="11"/>
        <v>16.010981999999998</v>
      </c>
      <c r="K223" s="49">
        <f t="shared" si="12"/>
        <v>47.368437518797705</v>
      </c>
      <c r="L223" s="96"/>
      <c r="M223" s="47"/>
      <c r="N223" s="55"/>
    </row>
    <row r="224" spans="1:14" x14ac:dyDescent="0.25">
      <c r="A224" s="41" t="s">
        <v>63</v>
      </c>
      <c r="B224" s="41" t="s">
        <v>224</v>
      </c>
      <c r="C224" s="41" t="s">
        <v>225</v>
      </c>
      <c r="D224" s="42">
        <v>45689.51458333333</v>
      </c>
      <c r="E224" s="42">
        <v>45689.53125</v>
      </c>
      <c r="F224">
        <v>1158</v>
      </c>
      <c r="G224">
        <v>1468</v>
      </c>
      <c r="H224">
        <v>2663.61</v>
      </c>
      <c r="I224" s="43">
        <f t="shared" si="10"/>
        <v>1.699074074074074E-2</v>
      </c>
      <c r="J224" s="44">
        <f t="shared" si="11"/>
        <v>2.6636100000000003</v>
      </c>
      <c r="K224" s="44">
        <f t="shared" si="12"/>
        <v>7.8802814130604082</v>
      </c>
      <c r="L224" s="96"/>
      <c r="M224" s="47"/>
      <c r="N224" s="55"/>
    </row>
    <row r="225" spans="1:14" x14ac:dyDescent="0.25">
      <c r="A225" s="41" t="s">
        <v>64</v>
      </c>
      <c r="B225" s="41" t="s">
        <v>224</v>
      </c>
      <c r="C225" s="41" t="s">
        <v>225</v>
      </c>
      <c r="D225" s="42">
        <v>45689.491666666669</v>
      </c>
      <c r="E225" s="42">
        <v>45689.50277777778</v>
      </c>
      <c r="F225">
        <v>629</v>
      </c>
      <c r="G225">
        <v>968</v>
      </c>
      <c r="H225">
        <v>788.83799999999997</v>
      </c>
      <c r="I225" s="48">
        <f t="shared" si="10"/>
        <v>1.1203703703703704E-2</v>
      </c>
      <c r="J225" s="49">
        <f t="shared" si="11"/>
        <v>0.78883799999999993</v>
      </c>
      <c r="K225" s="49">
        <f t="shared" si="12"/>
        <v>2.3337746251574916</v>
      </c>
      <c r="L225" s="96"/>
      <c r="M225" s="47"/>
      <c r="N225" s="55"/>
    </row>
    <row r="226" spans="1:14" x14ac:dyDescent="0.25">
      <c r="A226" s="41" t="s">
        <v>65</v>
      </c>
      <c r="B226" s="41" t="s">
        <v>224</v>
      </c>
      <c r="C226" s="41" t="s">
        <v>225</v>
      </c>
      <c r="D226" s="42">
        <v>45687.963194444441</v>
      </c>
      <c r="E226" s="42">
        <v>45687.975694444445</v>
      </c>
      <c r="F226">
        <v>717</v>
      </c>
      <c r="G226">
        <v>1047</v>
      </c>
      <c r="H226">
        <v>951.57299999999998</v>
      </c>
      <c r="I226" s="43">
        <f t="shared" si="10"/>
        <v>1.2118055555555556E-2</v>
      </c>
      <c r="J226" s="44">
        <f t="shared" si="11"/>
        <v>0.951573</v>
      </c>
      <c r="K226" s="44">
        <f t="shared" si="12"/>
        <v>2.8152255867300888</v>
      </c>
      <c r="L226" s="96" t="s">
        <v>283</v>
      </c>
      <c r="M226" s="47"/>
      <c r="N226" s="55"/>
    </row>
    <row r="227" spans="1:14" x14ac:dyDescent="0.25">
      <c r="A227" s="41" t="s">
        <v>66</v>
      </c>
      <c r="B227" s="41" t="s">
        <v>224</v>
      </c>
      <c r="C227" s="41" t="s">
        <v>225</v>
      </c>
      <c r="D227" s="42">
        <v>45685.89166666667</v>
      </c>
      <c r="E227" s="42">
        <v>45685.921527777777</v>
      </c>
      <c r="F227">
        <v>2272</v>
      </c>
      <c r="G227">
        <v>2607</v>
      </c>
      <c r="H227">
        <v>4779.38</v>
      </c>
      <c r="I227" s="48">
        <f t="shared" si="10"/>
        <v>3.0173611111111109E-2</v>
      </c>
      <c r="J227" s="49">
        <f t="shared" si="11"/>
        <v>4.7793799999999997</v>
      </c>
      <c r="K227" s="49">
        <f t="shared" si="12"/>
        <v>14.139779990296123</v>
      </c>
      <c r="L227" s="96" t="s">
        <v>282</v>
      </c>
      <c r="M227" s="47"/>
      <c r="N227" s="55"/>
    </row>
    <row r="228" spans="1:14" x14ac:dyDescent="0.25">
      <c r="A228" s="41" t="s">
        <v>67</v>
      </c>
      <c r="B228" s="41" t="s">
        <v>224</v>
      </c>
      <c r="C228" s="41" t="s">
        <v>225</v>
      </c>
      <c r="D228" s="42">
        <v>45681.9</v>
      </c>
      <c r="E228" s="42">
        <v>45681.917361111111</v>
      </c>
      <c r="F228">
        <v>1169</v>
      </c>
      <c r="G228">
        <v>1529</v>
      </c>
      <c r="H228">
        <v>3431.6729999999998</v>
      </c>
      <c r="I228" s="43">
        <f t="shared" si="10"/>
        <v>1.7696759259259259E-2</v>
      </c>
      <c r="J228" s="44">
        <f t="shared" si="11"/>
        <v>3.431673</v>
      </c>
      <c r="K228" s="44">
        <f t="shared" si="12"/>
        <v>10.152593269135215</v>
      </c>
      <c r="L228" s="96"/>
      <c r="M228" s="47"/>
      <c r="N228" s="55"/>
    </row>
    <row r="229" spans="1:14" x14ac:dyDescent="0.25">
      <c r="A229" s="41" t="s">
        <v>68</v>
      </c>
      <c r="B229" s="41" t="s">
        <v>224</v>
      </c>
      <c r="C229" s="41" t="s">
        <v>225</v>
      </c>
      <c r="D229" s="42">
        <v>45681.857638888891</v>
      </c>
      <c r="E229" s="42">
        <v>45681.880555555559</v>
      </c>
      <c r="F229">
        <v>1621</v>
      </c>
      <c r="G229">
        <v>1969</v>
      </c>
      <c r="H229">
        <v>4347.8119999999999</v>
      </c>
      <c r="I229" s="48">
        <f t="shared" si="10"/>
        <v>2.2789351851851852E-2</v>
      </c>
      <c r="J229" s="49">
        <f t="shared" si="11"/>
        <v>4.3478120000000002</v>
      </c>
      <c r="K229" s="49">
        <f t="shared" si="12"/>
        <v>12.862987483558403</v>
      </c>
      <c r="L229" s="96" t="s">
        <v>265</v>
      </c>
      <c r="M229" s="47"/>
      <c r="N229" s="55"/>
    </row>
    <row r="230" spans="1:14" x14ac:dyDescent="0.25">
      <c r="A230" s="41" t="s">
        <v>68</v>
      </c>
      <c r="B230" s="41" t="s">
        <v>224</v>
      </c>
      <c r="C230" s="41" t="s">
        <v>228</v>
      </c>
      <c r="D230" s="42">
        <v>45681.852083333331</v>
      </c>
      <c r="E230" s="42">
        <v>45681.856944444444</v>
      </c>
      <c r="F230">
        <v>34</v>
      </c>
      <c r="G230">
        <v>409</v>
      </c>
      <c r="H230">
        <v>46.5</v>
      </c>
      <c r="I230" s="43">
        <f t="shared" si="10"/>
        <v>4.7337962962962967E-3</v>
      </c>
      <c r="J230" s="44">
        <f t="shared" si="11"/>
        <v>4.65E-2</v>
      </c>
      <c r="K230" s="44">
        <f t="shared" si="12"/>
        <v>0.13757009686377097</v>
      </c>
      <c r="L230" s="96" t="s">
        <v>265</v>
      </c>
      <c r="M230" s="47"/>
      <c r="N230" s="55"/>
    </row>
    <row r="231" spans="1:14" x14ac:dyDescent="0.25">
      <c r="A231" s="41" t="s">
        <v>69</v>
      </c>
      <c r="B231" s="41" t="s">
        <v>224</v>
      </c>
      <c r="C231" s="41" t="s">
        <v>225</v>
      </c>
      <c r="D231" s="42">
        <v>45677.884722222225</v>
      </c>
      <c r="E231" s="42">
        <v>45677.936805555553</v>
      </c>
      <c r="F231">
        <v>3884</v>
      </c>
      <c r="G231">
        <v>4536</v>
      </c>
      <c r="H231">
        <v>13875.977999999999</v>
      </c>
      <c r="I231" s="48">
        <f t="shared" si="10"/>
        <v>5.2499999999999998E-2</v>
      </c>
      <c r="J231" s="49">
        <f t="shared" si="11"/>
        <v>13.875978</v>
      </c>
      <c r="K231" s="49">
        <f t="shared" si="12"/>
        <v>41.052035215904404</v>
      </c>
      <c r="L231" s="96" t="s">
        <v>281</v>
      </c>
      <c r="M231" s="47"/>
      <c r="N231" s="55"/>
    </row>
    <row r="232" spans="1:14" x14ac:dyDescent="0.25">
      <c r="A232" s="41" t="s">
        <v>70</v>
      </c>
      <c r="B232" s="41" t="s">
        <v>224</v>
      </c>
      <c r="C232" s="41" t="s">
        <v>225</v>
      </c>
      <c r="D232" s="42">
        <v>45676.793749999997</v>
      </c>
      <c r="E232" s="42">
        <v>45676.888888888891</v>
      </c>
      <c r="F232">
        <v>7857</v>
      </c>
      <c r="G232">
        <v>8187</v>
      </c>
      <c r="H232">
        <v>22539.724999999999</v>
      </c>
      <c r="I232" s="43">
        <f t="shared" si="10"/>
        <v>9.4756944444444449E-2</v>
      </c>
      <c r="J232" s="44">
        <f t="shared" si="11"/>
        <v>22.539724999999997</v>
      </c>
      <c r="K232" s="44">
        <f t="shared" si="12"/>
        <v>66.683702183500202</v>
      </c>
      <c r="L232" s="96" t="s">
        <v>280</v>
      </c>
      <c r="M232" s="47"/>
      <c r="N232" s="55"/>
    </row>
    <row r="233" spans="1:14" x14ac:dyDescent="0.25">
      <c r="A233" s="41" t="s">
        <v>71</v>
      </c>
      <c r="B233" s="41" t="s">
        <v>224</v>
      </c>
      <c r="C233" s="41" t="s">
        <v>225</v>
      </c>
      <c r="D233" s="42">
        <v>45676.745138888888</v>
      </c>
      <c r="E233" s="42">
        <v>45676.757638888892</v>
      </c>
      <c r="F233">
        <v>778</v>
      </c>
      <c r="G233">
        <v>1094</v>
      </c>
      <c r="H233">
        <v>1249.307</v>
      </c>
      <c r="I233" s="48">
        <f t="shared" si="10"/>
        <v>1.2662037037037038E-2</v>
      </c>
      <c r="J233" s="49">
        <f t="shared" si="11"/>
        <v>1.2493069999999999</v>
      </c>
      <c r="K233" s="49">
        <f t="shared" si="12"/>
        <v>3.6960706452169276</v>
      </c>
      <c r="L233" s="96" t="s">
        <v>279</v>
      </c>
      <c r="M233" s="47"/>
      <c r="N233" s="55"/>
    </row>
    <row r="234" spans="1:14" x14ac:dyDescent="0.25">
      <c r="A234" s="41" t="s">
        <v>72</v>
      </c>
      <c r="B234" s="41" t="s">
        <v>224</v>
      </c>
      <c r="C234" s="41" t="s">
        <v>225</v>
      </c>
      <c r="D234" s="42">
        <v>45676.719444444447</v>
      </c>
      <c r="E234" s="42">
        <v>45676.732638888891</v>
      </c>
      <c r="F234">
        <v>785</v>
      </c>
      <c r="G234">
        <v>1106</v>
      </c>
      <c r="H234">
        <v>1259.7449999999999</v>
      </c>
      <c r="I234" s="43">
        <f t="shared" si="10"/>
        <v>1.2800925925925926E-2</v>
      </c>
      <c r="J234" s="44">
        <f t="shared" si="11"/>
        <v>1.2597449999999999</v>
      </c>
      <c r="K234" s="44">
        <f t="shared" si="12"/>
        <v>3.7269514338419598</v>
      </c>
      <c r="L234" s="96" t="s">
        <v>279</v>
      </c>
      <c r="M234" s="47"/>
      <c r="N234" s="55"/>
    </row>
    <row r="235" spans="1:14" x14ac:dyDescent="0.25">
      <c r="A235" s="41" t="s">
        <v>73</v>
      </c>
      <c r="B235" s="41" t="s">
        <v>224</v>
      </c>
      <c r="C235" s="41" t="s">
        <v>225</v>
      </c>
      <c r="D235" s="42">
        <v>45676.595138888886</v>
      </c>
      <c r="E235" s="42">
        <v>45676.684027777781</v>
      </c>
      <c r="F235">
        <v>7238</v>
      </c>
      <c r="G235">
        <v>7648</v>
      </c>
      <c r="H235">
        <v>20941.204000000002</v>
      </c>
      <c r="I235" s="48">
        <f t="shared" si="10"/>
        <v>8.8518518518518524E-2</v>
      </c>
      <c r="J235" s="49">
        <f t="shared" si="11"/>
        <v>20.941204000000003</v>
      </c>
      <c r="K235" s="49">
        <f t="shared" si="12"/>
        <v>61.954483069333079</v>
      </c>
      <c r="L235" s="96" t="s">
        <v>278</v>
      </c>
      <c r="M235" s="47"/>
      <c r="N235" s="55"/>
    </row>
    <row r="236" spans="1:14" x14ac:dyDescent="0.25">
      <c r="A236" s="41" t="s">
        <v>514</v>
      </c>
      <c r="B236" s="41" t="s">
        <v>224</v>
      </c>
      <c r="C236" s="41" t="s">
        <v>228</v>
      </c>
      <c r="D236" s="42">
        <v>45676.582638888889</v>
      </c>
      <c r="E236" s="42">
        <v>45676.587500000001</v>
      </c>
      <c r="F236">
        <v>35</v>
      </c>
      <c r="G236">
        <v>454</v>
      </c>
      <c r="H236">
        <v>46.5</v>
      </c>
      <c r="I236" s="43">
        <f t="shared" si="10"/>
        <v>5.2546296296296299E-3</v>
      </c>
      <c r="J236" s="44">
        <f t="shared" si="11"/>
        <v>4.65E-2</v>
      </c>
      <c r="K236" s="44">
        <f t="shared" si="12"/>
        <v>0.13757009686377097</v>
      </c>
      <c r="L236" s="96" t="s">
        <v>278</v>
      </c>
      <c r="M236" s="47"/>
      <c r="N236" s="55"/>
    </row>
    <row r="237" spans="1:14" x14ac:dyDescent="0.25">
      <c r="A237" s="41" t="s">
        <v>74</v>
      </c>
      <c r="B237" s="41" t="s">
        <v>224</v>
      </c>
      <c r="C237" s="41" t="s">
        <v>225</v>
      </c>
      <c r="D237" s="42">
        <v>45675.481944444444</v>
      </c>
      <c r="E237" s="42">
        <v>45675.807638888888</v>
      </c>
      <c r="F237">
        <v>27754</v>
      </c>
      <c r="G237">
        <v>28189</v>
      </c>
      <c r="H237">
        <v>80532.754000000001</v>
      </c>
      <c r="I237" s="48">
        <f t="shared" si="10"/>
        <v>0.32626157407407408</v>
      </c>
      <c r="J237" s="49">
        <f t="shared" si="11"/>
        <v>80.532753999999997</v>
      </c>
      <c r="K237" s="49">
        <f t="shared" si="12"/>
        <v>238.25588749432774</v>
      </c>
      <c r="L237" s="96" t="s">
        <v>277</v>
      </c>
      <c r="M237" s="47"/>
      <c r="N237" s="55"/>
    </row>
    <row r="238" spans="1:14" x14ac:dyDescent="0.25">
      <c r="A238" s="41" t="s">
        <v>75</v>
      </c>
      <c r="B238" s="41" t="s">
        <v>224</v>
      </c>
      <c r="C238" s="41" t="s">
        <v>225</v>
      </c>
      <c r="D238" s="42">
        <v>45669.904861111114</v>
      </c>
      <c r="E238" s="42">
        <v>45669.923611111109</v>
      </c>
      <c r="F238">
        <v>1222</v>
      </c>
      <c r="G238">
        <v>1664</v>
      </c>
      <c r="H238">
        <v>3398.7739999999999</v>
      </c>
      <c r="I238" s="43">
        <f t="shared" si="10"/>
        <v>1.9259259259259261E-2</v>
      </c>
      <c r="J238" s="44">
        <f t="shared" si="11"/>
        <v>3.398774</v>
      </c>
      <c r="K238" s="44">
        <f t="shared" si="12"/>
        <v>10.05526168597992</v>
      </c>
      <c r="L238" s="96" t="s">
        <v>276</v>
      </c>
      <c r="M238" s="47"/>
      <c r="N238" s="55"/>
    </row>
    <row r="239" spans="1:14" x14ac:dyDescent="0.25">
      <c r="A239" s="41" t="s">
        <v>76</v>
      </c>
      <c r="B239" s="41" t="s">
        <v>224</v>
      </c>
      <c r="C239" s="41" t="s">
        <v>225</v>
      </c>
      <c r="D239" s="42">
        <v>45669.714583333334</v>
      </c>
      <c r="E239" s="42">
        <v>45669.779861111114</v>
      </c>
      <c r="F239">
        <v>5171</v>
      </c>
      <c r="G239">
        <v>5616</v>
      </c>
      <c r="H239">
        <v>20573.346000000001</v>
      </c>
      <c r="I239" s="48">
        <f t="shared" si="10"/>
        <v>6.5000000000000002E-2</v>
      </c>
      <c r="J239" s="49">
        <f t="shared" si="11"/>
        <v>20.573346000000001</v>
      </c>
      <c r="K239" s="49">
        <f t="shared" si="12"/>
        <v>60.866176387782261</v>
      </c>
      <c r="L239" s="96"/>
      <c r="M239" s="47"/>
      <c r="N239" s="55"/>
    </row>
    <row r="240" spans="1:14" x14ac:dyDescent="0.25">
      <c r="A240" s="41" t="s">
        <v>76</v>
      </c>
      <c r="B240" s="41" t="s">
        <v>224</v>
      </c>
      <c r="C240" s="41" t="s">
        <v>228</v>
      </c>
      <c r="D240" s="42">
        <v>45669.709027777775</v>
      </c>
      <c r="E240" s="42">
        <v>45669.714583333334</v>
      </c>
      <c r="F240">
        <v>24</v>
      </c>
      <c r="G240">
        <v>459</v>
      </c>
      <c r="H240">
        <v>16.5</v>
      </c>
      <c r="I240" s="43">
        <f t="shared" si="10"/>
        <v>5.3125000000000004E-3</v>
      </c>
      <c r="J240" s="44">
        <f t="shared" si="11"/>
        <v>1.6500000000000001E-2</v>
      </c>
      <c r="K240" s="44">
        <f t="shared" si="12"/>
        <v>4.8815195661338087E-2</v>
      </c>
      <c r="L240" s="96"/>
      <c r="M240" s="47"/>
      <c r="N240" s="55"/>
    </row>
    <row r="241" spans="1:14" x14ac:dyDescent="0.25">
      <c r="A241" s="41" t="s">
        <v>77</v>
      </c>
      <c r="B241" s="41" t="s">
        <v>224</v>
      </c>
      <c r="C241" s="41" t="s">
        <v>225</v>
      </c>
      <c r="D241" s="42">
        <v>45669.663194444445</v>
      </c>
      <c r="E241" s="42">
        <v>45669.681250000001</v>
      </c>
      <c r="F241">
        <v>1218</v>
      </c>
      <c r="G241">
        <v>1550</v>
      </c>
      <c r="H241">
        <v>2909.268</v>
      </c>
      <c r="I241" s="48">
        <f t="shared" si="10"/>
        <v>1.7939814814814815E-2</v>
      </c>
      <c r="J241" s="49">
        <f t="shared" si="11"/>
        <v>2.909268</v>
      </c>
      <c r="K241" s="49">
        <f t="shared" si="12"/>
        <v>8.6070597970466505</v>
      </c>
      <c r="L241" s="96" t="s">
        <v>275</v>
      </c>
      <c r="M241" s="47"/>
      <c r="N241" s="55"/>
    </row>
    <row r="242" spans="1:14" x14ac:dyDescent="0.25">
      <c r="A242" s="41" t="s">
        <v>78</v>
      </c>
      <c r="B242" s="41" t="s">
        <v>224</v>
      </c>
      <c r="C242" s="41" t="s">
        <v>225</v>
      </c>
      <c r="D242" s="42">
        <v>45668.916666666664</v>
      </c>
      <c r="E242" s="42">
        <v>45668.959722222222</v>
      </c>
      <c r="F242">
        <v>3683</v>
      </c>
      <c r="G242">
        <v>3718</v>
      </c>
      <c r="H242">
        <v>9109.9940000000006</v>
      </c>
      <c r="I242" s="43">
        <f t="shared" si="10"/>
        <v>4.3032407407407408E-2</v>
      </c>
      <c r="J242" s="44">
        <f t="shared" si="11"/>
        <v>9.1099940000000004</v>
      </c>
      <c r="K242" s="44">
        <f t="shared" si="12"/>
        <v>26.951887247491879</v>
      </c>
      <c r="L242" s="96" t="s">
        <v>274</v>
      </c>
      <c r="M242" s="47"/>
      <c r="N242" s="55"/>
    </row>
    <row r="243" spans="1:14" x14ac:dyDescent="0.25">
      <c r="A243" s="41" t="s">
        <v>79</v>
      </c>
      <c r="B243" s="41" t="s">
        <v>224</v>
      </c>
      <c r="C243" s="41" t="s">
        <v>225</v>
      </c>
      <c r="D243" s="42">
        <v>45668.771527777775</v>
      </c>
      <c r="E243" s="42">
        <v>45668.843055555553</v>
      </c>
      <c r="F243">
        <v>5734</v>
      </c>
      <c r="G243">
        <v>6155</v>
      </c>
      <c r="H243">
        <v>21102.761999999999</v>
      </c>
      <c r="I243" s="48">
        <f t="shared" si="10"/>
        <v>7.1238425925925927E-2</v>
      </c>
      <c r="J243" s="49">
        <f t="shared" si="11"/>
        <v>21.102761999999998</v>
      </c>
      <c r="K243" s="49">
        <f t="shared" si="12"/>
        <v>62.432451880281825</v>
      </c>
      <c r="L243" s="96" t="s">
        <v>266</v>
      </c>
      <c r="M243" s="47"/>
      <c r="N243" s="55"/>
    </row>
    <row r="244" spans="1:14" x14ac:dyDescent="0.25">
      <c r="A244" s="41" t="s">
        <v>80</v>
      </c>
      <c r="B244" s="41" t="s">
        <v>224</v>
      </c>
      <c r="C244" s="41" t="s">
        <v>225</v>
      </c>
      <c r="D244" s="42">
        <v>45668.536111111112</v>
      </c>
      <c r="E244" s="42">
        <v>45668.665972222225</v>
      </c>
      <c r="F244">
        <v>11174</v>
      </c>
      <c r="G244">
        <v>11226</v>
      </c>
      <c r="H244">
        <v>18875.482</v>
      </c>
      <c r="I244" s="43">
        <f t="shared" si="10"/>
        <v>0.12993055555555555</v>
      </c>
      <c r="J244" s="44">
        <f t="shared" si="11"/>
        <v>18.875482000000002</v>
      </c>
      <c r="K244" s="44">
        <f t="shared" si="12"/>
        <v>55.84305133527667</v>
      </c>
      <c r="L244" s="96" t="s">
        <v>273</v>
      </c>
      <c r="M244" s="47"/>
      <c r="N244" s="55"/>
    </row>
    <row r="245" spans="1:14" x14ac:dyDescent="0.25">
      <c r="A245" s="41" t="s">
        <v>81</v>
      </c>
      <c r="B245" s="41" t="s">
        <v>224</v>
      </c>
      <c r="C245" s="41" t="s">
        <v>225</v>
      </c>
      <c r="D245" s="42">
        <v>45667.9375</v>
      </c>
      <c r="E245" s="42">
        <v>45667.941666666666</v>
      </c>
      <c r="F245">
        <v>347</v>
      </c>
      <c r="G245">
        <v>375</v>
      </c>
      <c r="H245">
        <v>149.07499999999999</v>
      </c>
      <c r="I245" s="48">
        <f t="shared" si="10"/>
        <v>4.340277777777778E-3</v>
      </c>
      <c r="J245" s="49">
        <f t="shared" si="11"/>
        <v>0.14907499999999999</v>
      </c>
      <c r="K245" s="49">
        <f t="shared" si="12"/>
        <v>0.44103789655842268</v>
      </c>
      <c r="L245" s="96"/>
      <c r="M245" s="47"/>
      <c r="N245" s="55"/>
    </row>
    <row r="246" spans="1:14" x14ac:dyDescent="0.25">
      <c r="A246" s="41" t="s">
        <v>82</v>
      </c>
      <c r="B246" s="41" t="s">
        <v>224</v>
      </c>
      <c r="C246" s="41" t="s">
        <v>225</v>
      </c>
      <c r="D246" s="42">
        <v>45667.923611111109</v>
      </c>
      <c r="E246" s="42">
        <v>45667.928472222222</v>
      </c>
      <c r="F246">
        <v>137</v>
      </c>
      <c r="G246">
        <v>438</v>
      </c>
      <c r="H246">
        <v>154.71700000000001</v>
      </c>
      <c r="I246" s="43">
        <f t="shared" si="10"/>
        <v>5.0694444444444441E-3</v>
      </c>
      <c r="J246" s="44">
        <f t="shared" si="11"/>
        <v>0.15471700000000002</v>
      </c>
      <c r="K246" s="44">
        <f t="shared" si="12"/>
        <v>0.45772973497789365</v>
      </c>
      <c r="L246" s="96"/>
      <c r="M246" s="47"/>
      <c r="N246" s="55"/>
    </row>
    <row r="247" spans="1:14" x14ac:dyDescent="0.25">
      <c r="A247" s="41" t="s">
        <v>82</v>
      </c>
      <c r="B247" s="41" t="s">
        <v>224</v>
      </c>
      <c r="C247" s="41" t="s">
        <v>225</v>
      </c>
      <c r="D247" s="42">
        <v>45667.915277777778</v>
      </c>
      <c r="E247" s="42">
        <v>45667.920138888891</v>
      </c>
      <c r="F247">
        <v>134</v>
      </c>
      <c r="G247">
        <v>438</v>
      </c>
      <c r="H247">
        <v>154.946</v>
      </c>
      <c r="I247" s="48">
        <f t="shared" si="10"/>
        <v>5.0694444444444441E-3</v>
      </c>
      <c r="J247" s="49">
        <f t="shared" si="11"/>
        <v>0.154946</v>
      </c>
      <c r="K247" s="49">
        <f t="shared" si="12"/>
        <v>0.45840723072373885</v>
      </c>
      <c r="L247" s="96"/>
      <c r="M247" s="47"/>
      <c r="N247" s="55"/>
    </row>
    <row r="248" spans="1:14" x14ac:dyDescent="0.25">
      <c r="A248" s="41" t="s">
        <v>83</v>
      </c>
      <c r="B248" s="41" t="s">
        <v>224</v>
      </c>
      <c r="C248" s="41" t="s">
        <v>225</v>
      </c>
      <c r="D248" s="42">
        <v>45667.893750000003</v>
      </c>
      <c r="E248" s="42">
        <v>45667.902777777781</v>
      </c>
      <c r="F248">
        <v>388</v>
      </c>
      <c r="G248">
        <v>812</v>
      </c>
      <c r="H248">
        <v>602.38900000000001</v>
      </c>
      <c r="I248" s="43">
        <f t="shared" si="10"/>
        <v>9.3981481481481485E-3</v>
      </c>
      <c r="J248" s="44">
        <f t="shared" si="11"/>
        <v>0.60238900000000006</v>
      </c>
      <c r="K248" s="44">
        <f t="shared" si="12"/>
        <v>1.7821658726810781</v>
      </c>
      <c r="L248" s="96"/>
      <c r="M248" s="47"/>
      <c r="N248" s="55"/>
    </row>
    <row r="249" spans="1:14" x14ac:dyDescent="0.25">
      <c r="A249" s="41" t="s">
        <v>84</v>
      </c>
      <c r="B249" s="41" t="s">
        <v>224</v>
      </c>
      <c r="C249" s="41" t="s">
        <v>228</v>
      </c>
      <c r="D249" s="42">
        <v>45667.868750000001</v>
      </c>
      <c r="E249" s="42">
        <v>45667.886111111111</v>
      </c>
      <c r="F249">
        <v>1037</v>
      </c>
      <c r="G249">
        <v>1466</v>
      </c>
      <c r="H249">
        <v>3532.4009999999998</v>
      </c>
      <c r="I249" s="48">
        <f t="shared" si="10"/>
        <v>1.6967592592592593E-2</v>
      </c>
      <c r="J249" s="49">
        <f t="shared" si="11"/>
        <v>3.5324009999999997</v>
      </c>
      <c r="K249" s="49">
        <f t="shared" si="12"/>
        <v>10.450596725412504</v>
      </c>
      <c r="L249" s="96" t="s">
        <v>272</v>
      </c>
      <c r="M249" s="47"/>
      <c r="N249" s="55"/>
    </row>
    <row r="250" spans="1:14" x14ac:dyDescent="0.25">
      <c r="A250" s="41" t="s">
        <v>85</v>
      </c>
      <c r="B250" s="41" t="s">
        <v>224</v>
      </c>
      <c r="C250" s="41" t="s">
        <v>225</v>
      </c>
      <c r="D250" s="42">
        <v>45666.911805555559</v>
      </c>
      <c r="E250" s="42">
        <v>45666.940972222219</v>
      </c>
      <c r="F250">
        <v>2235</v>
      </c>
      <c r="G250">
        <v>2542</v>
      </c>
      <c r="H250">
        <v>2210.15</v>
      </c>
      <c r="I250" s="43">
        <f t="shared" si="10"/>
        <v>2.9421296296296296E-2</v>
      </c>
      <c r="J250" s="44">
        <f t="shared" si="11"/>
        <v>2.2101500000000001</v>
      </c>
      <c r="K250" s="44">
        <f t="shared" si="12"/>
        <v>6.5387214964185674</v>
      </c>
      <c r="L250" s="96"/>
      <c r="M250" s="47"/>
      <c r="N250" s="55"/>
    </row>
    <row r="251" spans="1:14" x14ac:dyDescent="0.25">
      <c r="A251" s="41" t="s">
        <v>86</v>
      </c>
      <c r="B251" s="41" t="s">
        <v>224</v>
      </c>
      <c r="C251" s="41" t="s">
        <v>225</v>
      </c>
      <c r="D251" s="42">
        <v>45666.893055555556</v>
      </c>
      <c r="E251" s="42">
        <v>45666.906944444447</v>
      </c>
      <c r="F251">
        <v>847</v>
      </c>
      <c r="G251">
        <v>1168</v>
      </c>
      <c r="H251">
        <v>1124.357</v>
      </c>
      <c r="I251" s="48">
        <f t="shared" si="10"/>
        <v>1.3518518518518518E-2</v>
      </c>
      <c r="J251" s="49">
        <f t="shared" si="11"/>
        <v>1.1243570000000001</v>
      </c>
      <c r="K251" s="49">
        <f t="shared" si="12"/>
        <v>3.3264064817087942</v>
      </c>
      <c r="L251" s="96" t="s">
        <v>271</v>
      </c>
      <c r="M251" s="47"/>
      <c r="N251" s="55"/>
    </row>
    <row r="252" spans="1:14" x14ac:dyDescent="0.25">
      <c r="A252" s="41" t="s">
        <v>87</v>
      </c>
      <c r="B252" s="41" t="s">
        <v>224</v>
      </c>
      <c r="C252" s="41" t="s">
        <v>225</v>
      </c>
      <c r="D252" s="42">
        <v>45665.875</v>
      </c>
      <c r="E252" s="42">
        <v>45665.947916666664</v>
      </c>
      <c r="F252">
        <v>5894</v>
      </c>
      <c r="G252">
        <v>6260</v>
      </c>
      <c r="H252">
        <v>13239.911</v>
      </c>
      <c r="I252" s="43">
        <f t="shared" si="10"/>
        <v>7.2453703703703701E-2</v>
      </c>
      <c r="J252" s="44">
        <f t="shared" si="11"/>
        <v>13.239910999999999</v>
      </c>
      <c r="K252" s="44">
        <f t="shared" si="12"/>
        <v>39.170233091133483</v>
      </c>
      <c r="L252" s="96" t="s">
        <v>270</v>
      </c>
      <c r="M252" s="47"/>
      <c r="N252" s="55"/>
    </row>
    <row r="253" spans="1:14" x14ac:dyDescent="0.25">
      <c r="A253" s="41" t="s">
        <v>88</v>
      </c>
      <c r="B253" s="41" t="s">
        <v>224</v>
      </c>
      <c r="C253" s="41" t="s">
        <v>225</v>
      </c>
      <c r="D253" s="42">
        <v>45665.757638888892</v>
      </c>
      <c r="E253" s="42">
        <v>45665.773611111108</v>
      </c>
      <c r="F253">
        <v>1018</v>
      </c>
      <c r="G253">
        <v>1326</v>
      </c>
      <c r="H253">
        <v>1341.471</v>
      </c>
      <c r="I253" s="48">
        <f t="shared" si="10"/>
        <v>1.5347222222222222E-2</v>
      </c>
      <c r="J253" s="49">
        <f t="shared" si="11"/>
        <v>1.3414710000000001</v>
      </c>
      <c r="K253" s="49">
        <f t="shared" si="12"/>
        <v>3.968737535697628</v>
      </c>
      <c r="L253" s="96"/>
      <c r="M253" s="47"/>
      <c r="N253" s="55"/>
    </row>
    <row r="254" spans="1:14" x14ac:dyDescent="0.25">
      <c r="A254" s="41" t="s">
        <v>89</v>
      </c>
      <c r="B254" s="41" t="s">
        <v>224</v>
      </c>
      <c r="C254" s="41" t="s">
        <v>225</v>
      </c>
      <c r="D254" s="42">
        <v>45665.722916666666</v>
      </c>
      <c r="E254" s="42">
        <v>45665.740972222222</v>
      </c>
      <c r="F254">
        <v>1254</v>
      </c>
      <c r="G254">
        <v>1573</v>
      </c>
      <c r="H254">
        <v>1312.7270000000001</v>
      </c>
      <c r="I254" s="43">
        <f t="shared" si="10"/>
        <v>1.8206018518518517E-2</v>
      </c>
      <c r="J254" s="44">
        <f t="shared" si="11"/>
        <v>1.3127270000000002</v>
      </c>
      <c r="K254" s="44">
        <f t="shared" si="12"/>
        <v>3.8836985063588703</v>
      </c>
      <c r="L254" s="96"/>
      <c r="M254" s="47"/>
      <c r="N254" s="55"/>
    </row>
    <row r="255" spans="1:14" x14ac:dyDescent="0.25">
      <c r="A255" s="41" t="s">
        <v>90</v>
      </c>
      <c r="B255" s="41" t="s">
        <v>224</v>
      </c>
      <c r="C255" s="41" t="s">
        <v>225</v>
      </c>
      <c r="D255" s="42">
        <v>45665.688194444447</v>
      </c>
      <c r="E255" s="42">
        <v>45665.70208333333</v>
      </c>
      <c r="F255">
        <v>886</v>
      </c>
      <c r="G255">
        <v>1212</v>
      </c>
      <c r="H255">
        <v>1726.925</v>
      </c>
      <c r="I255" s="48">
        <f t="shared" si="10"/>
        <v>1.4027777777777778E-2</v>
      </c>
      <c r="J255" s="49">
        <f t="shared" si="11"/>
        <v>1.726925</v>
      </c>
      <c r="K255" s="49">
        <f t="shared" si="12"/>
        <v>5.1091019253003793</v>
      </c>
      <c r="L255" s="95"/>
      <c r="M255" s="47"/>
      <c r="N255" s="55"/>
    </row>
    <row r="256" spans="1:14" x14ac:dyDescent="0.25">
      <c r="A256" s="41" t="s">
        <v>91</v>
      </c>
      <c r="B256" s="41" t="s">
        <v>224</v>
      </c>
      <c r="C256" s="41" t="s">
        <v>225</v>
      </c>
      <c r="D256" s="42">
        <v>45665.5625</v>
      </c>
      <c r="E256" s="42">
        <v>45665.573611111111</v>
      </c>
      <c r="F256">
        <v>937</v>
      </c>
      <c r="G256">
        <v>970</v>
      </c>
      <c r="H256">
        <v>694.59100000000001</v>
      </c>
      <c r="I256" s="43">
        <f t="shared" si="10"/>
        <v>1.1226851851851852E-2</v>
      </c>
      <c r="J256" s="44">
        <f t="shared" si="11"/>
        <v>0.69459099999999996</v>
      </c>
      <c r="K256" s="44">
        <f t="shared" si="12"/>
        <v>2.0549451860366355</v>
      </c>
      <c r="L256" s="96"/>
      <c r="M256" s="47"/>
      <c r="N256" s="55"/>
    </row>
    <row r="257" spans="1:14" x14ac:dyDescent="0.25">
      <c r="A257" s="41" t="s">
        <v>91</v>
      </c>
      <c r="B257" s="41" t="s">
        <v>224</v>
      </c>
      <c r="C257" s="41" t="s">
        <v>225</v>
      </c>
      <c r="D257" s="42">
        <v>45665.534722222219</v>
      </c>
      <c r="E257" s="42">
        <v>45665.55</v>
      </c>
      <c r="F257">
        <v>999</v>
      </c>
      <c r="G257">
        <v>1309</v>
      </c>
      <c r="H257">
        <v>1285.76</v>
      </c>
      <c r="I257" s="48">
        <f t="shared" si="10"/>
        <v>1.5150462962962963E-2</v>
      </c>
      <c r="J257" s="49">
        <f t="shared" si="11"/>
        <v>1.28576</v>
      </c>
      <c r="K257" s="49">
        <f t="shared" si="12"/>
        <v>3.8039167256680035</v>
      </c>
      <c r="L257" s="96"/>
      <c r="M257" s="47"/>
      <c r="N257" s="55"/>
    </row>
    <row r="258" spans="1:14" x14ac:dyDescent="0.25">
      <c r="A258" s="41" t="s">
        <v>92</v>
      </c>
      <c r="B258" s="41" t="s">
        <v>224</v>
      </c>
      <c r="C258" s="41" t="s">
        <v>225</v>
      </c>
      <c r="D258" s="42">
        <v>45665.515277777777</v>
      </c>
      <c r="E258" s="42">
        <v>45665.531944444447</v>
      </c>
      <c r="F258">
        <v>1108</v>
      </c>
      <c r="G258">
        <v>1441</v>
      </c>
      <c r="H258">
        <v>1052.3499999999999</v>
      </c>
      <c r="I258" s="43">
        <f t="shared" si="10"/>
        <v>1.667824074074074E-2</v>
      </c>
      <c r="J258" s="44">
        <f t="shared" si="11"/>
        <v>1.0523499999999999</v>
      </c>
      <c r="K258" s="44">
        <f t="shared" si="12"/>
        <v>3.1133740093460078</v>
      </c>
      <c r="L258" s="96"/>
      <c r="M258" s="47"/>
      <c r="N258" s="55"/>
    </row>
    <row r="259" spans="1:14" x14ac:dyDescent="0.25">
      <c r="A259" s="41" t="s">
        <v>93</v>
      </c>
      <c r="B259" s="41" t="s">
        <v>224</v>
      </c>
      <c r="C259" s="41" t="s">
        <v>225</v>
      </c>
      <c r="D259" s="42">
        <v>45663.913194444445</v>
      </c>
      <c r="E259" s="42">
        <v>45663.927777777775</v>
      </c>
      <c r="F259">
        <v>948</v>
      </c>
      <c r="G259">
        <v>1258</v>
      </c>
      <c r="H259">
        <v>1162.104</v>
      </c>
      <c r="I259" s="48">
        <f t="shared" si="10"/>
        <v>1.4560185185185185E-2</v>
      </c>
      <c r="J259" s="49">
        <f t="shared" si="11"/>
        <v>1.162104</v>
      </c>
      <c r="K259" s="49">
        <f t="shared" si="12"/>
        <v>3.4380808568984023</v>
      </c>
      <c r="L259" s="96"/>
      <c r="M259" s="47"/>
      <c r="N259" s="55"/>
    </row>
    <row r="260" spans="1:14" x14ac:dyDescent="0.25">
      <c r="A260" s="41" t="s">
        <v>94</v>
      </c>
      <c r="B260" s="41" t="s">
        <v>224</v>
      </c>
      <c r="C260" s="41" t="s">
        <v>225</v>
      </c>
      <c r="D260" s="42">
        <v>45663.901388888888</v>
      </c>
      <c r="E260" s="42">
        <v>45663.910416666666</v>
      </c>
      <c r="F260">
        <v>511</v>
      </c>
      <c r="G260">
        <v>825</v>
      </c>
      <c r="H260">
        <v>686.31399999999996</v>
      </c>
      <c r="I260" s="43">
        <f t="shared" ref="I260:I283" si="13">G260/86400</f>
        <v>9.5486111111111119E-3</v>
      </c>
      <c r="J260" s="44">
        <f t="shared" ref="J260:J283" si="14">H260/1000</f>
        <v>0.68631399999999998</v>
      </c>
      <c r="K260" s="44">
        <f t="shared" ref="K260:K283" si="15">1.23*PI()*(1.75/2)^2*H260/1000</f>
        <v>2.0304577087948839</v>
      </c>
      <c r="L260" s="96"/>
      <c r="M260" s="47"/>
      <c r="N260" s="55"/>
    </row>
    <row r="261" spans="1:14" x14ac:dyDescent="0.25">
      <c r="A261" s="41" t="s">
        <v>95</v>
      </c>
      <c r="B261" s="41" t="s">
        <v>224</v>
      </c>
      <c r="C261" s="41" t="s">
        <v>225</v>
      </c>
      <c r="D261" s="42">
        <v>45663.844444444447</v>
      </c>
      <c r="E261" s="42">
        <v>45663.86041666667</v>
      </c>
      <c r="F261">
        <v>1057</v>
      </c>
      <c r="G261">
        <v>1367</v>
      </c>
      <c r="H261">
        <v>1582.8989999999999</v>
      </c>
      <c r="I261" s="48">
        <f t="shared" si="13"/>
        <v>1.5821759259259258E-2</v>
      </c>
      <c r="J261" s="49">
        <f t="shared" si="14"/>
        <v>1.5828989999999998</v>
      </c>
      <c r="K261" s="49">
        <f t="shared" si="15"/>
        <v>4.6830014786143268</v>
      </c>
      <c r="L261" s="96"/>
      <c r="M261" s="47"/>
      <c r="N261" s="55"/>
    </row>
    <row r="262" spans="1:14" x14ac:dyDescent="0.25">
      <c r="A262" s="41" t="s">
        <v>96</v>
      </c>
      <c r="B262" s="41" t="s">
        <v>224</v>
      </c>
      <c r="C262" s="41" t="s">
        <v>225</v>
      </c>
      <c r="D262" s="42">
        <v>45663.792361111111</v>
      </c>
      <c r="E262" s="42">
        <v>45663.831250000003</v>
      </c>
      <c r="F262">
        <v>2991</v>
      </c>
      <c r="G262">
        <v>3348</v>
      </c>
      <c r="H262">
        <v>5185.7449999999999</v>
      </c>
      <c r="I262" s="43">
        <f t="shared" si="13"/>
        <v>3.875E-2</v>
      </c>
      <c r="J262" s="44">
        <f t="shared" si="14"/>
        <v>5.1857449999999998</v>
      </c>
      <c r="K262" s="44">
        <f t="shared" si="15"/>
        <v>15.342009504533676</v>
      </c>
      <c r="L262" s="96"/>
      <c r="M262" s="47"/>
      <c r="N262" s="55"/>
    </row>
    <row r="263" spans="1:14" x14ac:dyDescent="0.25">
      <c r="A263" s="41" t="s">
        <v>97</v>
      </c>
      <c r="B263" s="41" t="s">
        <v>224</v>
      </c>
      <c r="C263" s="41" t="s">
        <v>225</v>
      </c>
      <c r="D263" s="42">
        <v>45663.643055555556</v>
      </c>
      <c r="E263" s="42">
        <v>45663.667361111111</v>
      </c>
      <c r="F263">
        <v>1670</v>
      </c>
      <c r="G263">
        <v>2127</v>
      </c>
      <c r="H263">
        <v>2627.864</v>
      </c>
      <c r="I263" s="48">
        <f t="shared" si="13"/>
        <v>2.4618055555555556E-2</v>
      </c>
      <c r="J263" s="49">
        <f t="shared" si="14"/>
        <v>2.6278640000000002</v>
      </c>
      <c r="K263" s="49">
        <f t="shared" si="15"/>
        <v>7.7745269897810028</v>
      </c>
      <c r="L263" s="96"/>
      <c r="M263" s="47"/>
      <c r="N263" s="55"/>
    </row>
    <row r="264" spans="1:14" x14ac:dyDescent="0.25">
      <c r="A264" s="41" t="s">
        <v>98</v>
      </c>
      <c r="B264" s="41" t="s">
        <v>224</v>
      </c>
      <c r="C264" s="41" t="s">
        <v>225</v>
      </c>
      <c r="D264" s="42">
        <v>45663.510416666664</v>
      </c>
      <c r="E264" s="42">
        <v>45663.586111111108</v>
      </c>
      <c r="F264">
        <v>6098</v>
      </c>
      <c r="G264">
        <v>6544</v>
      </c>
      <c r="H264">
        <v>24034.755000000001</v>
      </c>
      <c r="I264" s="43">
        <f t="shared" si="13"/>
        <v>7.5740740740740747E-2</v>
      </c>
      <c r="J264" s="44">
        <f t="shared" si="14"/>
        <v>24.034755000000001</v>
      </c>
      <c r="K264" s="44">
        <f t="shared" si="15"/>
        <v>71.106743514989333</v>
      </c>
      <c r="L264" s="96" t="s">
        <v>266</v>
      </c>
      <c r="M264" s="47"/>
      <c r="N264" s="55"/>
    </row>
    <row r="265" spans="1:14" x14ac:dyDescent="0.25">
      <c r="A265" s="41" t="s">
        <v>99</v>
      </c>
      <c r="B265" s="41" t="s">
        <v>224</v>
      </c>
      <c r="C265" s="41" t="s">
        <v>225</v>
      </c>
      <c r="D265" s="42">
        <v>45663.067361111112</v>
      </c>
      <c r="E265" s="42">
        <v>45663.194444444445</v>
      </c>
      <c r="F265">
        <v>10504</v>
      </c>
      <c r="G265">
        <v>10940</v>
      </c>
      <c r="H265">
        <v>38421.544000000002</v>
      </c>
      <c r="I265" s="48">
        <f t="shared" si="13"/>
        <v>0.12662037037037038</v>
      </c>
      <c r="J265" s="49">
        <f t="shared" si="14"/>
        <v>38.421544000000004</v>
      </c>
      <c r="K265" s="49">
        <f t="shared" si="15"/>
        <v>113.67001139216426</v>
      </c>
      <c r="L265" s="96" t="s">
        <v>266</v>
      </c>
      <c r="M265" s="47"/>
      <c r="N265" s="55"/>
    </row>
    <row r="266" spans="1:14" x14ac:dyDescent="0.25">
      <c r="A266" s="41" t="s">
        <v>100</v>
      </c>
      <c r="B266" s="41" t="s">
        <v>224</v>
      </c>
      <c r="C266" s="41" t="s">
        <v>225</v>
      </c>
      <c r="D266" s="42">
        <v>45662.927777777775</v>
      </c>
      <c r="E266" s="42">
        <v>45663.025000000001</v>
      </c>
      <c r="F266">
        <v>7978</v>
      </c>
      <c r="G266">
        <v>8406</v>
      </c>
      <c r="H266">
        <v>28756.931</v>
      </c>
      <c r="I266" s="43">
        <f t="shared" si="13"/>
        <v>9.7291666666666665E-2</v>
      </c>
      <c r="J266" s="44">
        <f t="shared" si="14"/>
        <v>28.756931000000002</v>
      </c>
      <c r="K266" s="44">
        <f t="shared" si="15"/>
        <v>85.077285659672654</v>
      </c>
      <c r="L266" s="96" t="s">
        <v>266</v>
      </c>
      <c r="M266" s="47"/>
      <c r="N266" s="55"/>
    </row>
    <row r="267" spans="1:14" x14ac:dyDescent="0.25">
      <c r="A267" s="41" t="s">
        <v>229</v>
      </c>
      <c r="B267" s="41" t="s">
        <v>224</v>
      </c>
      <c r="C267" s="41" t="s">
        <v>225</v>
      </c>
      <c r="D267" s="42">
        <v>45662.834722222222</v>
      </c>
      <c r="E267" s="42">
        <v>45662.888194444444</v>
      </c>
      <c r="F267">
        <v>4244</v>
      </c>
      <c r="G267">
        <v>4646</v>
      </c>
      <c r="H267">
        <v>12416.89</v>
      </c>
      <c r="I267" s="48">
        <f t="shared" si="13"/>
        <v>5.3773148148148146E-2</v>
      </c>
      <c r="J267" s="49">
        <f t="shared" si="14"/>
        <v>12.416889999999999</v>
      </c>
      <c r="K267" s="49">
        <f t="shared" si="15"/>
        <v>36.735328173049226</v>
      </c>
      <c r="L267" s="96" t="s">
        <v>266</v>
      </c>
      <c r="M267" s="47"/>
      <c r="N267" s="55"/>
    </row>
    <row r="268" spans="1:14" x14ac:dyDescent="0.25">
      <c r="A268" s="41" t="s">
        <v>101</v>
      </c>
      <c r="B268" s="41" t="s">
        <v>224</v>
      </c>
      <c r="C268" s="41" t="s">
        <v>225</v>
      </c>
      <c r="D268" s="42">
        <v>45662.772222222222</v>
      </c>
      <c r="E268" s="42">
        <v>45662.826388888891</v>
      </c>
      <c r="F268">
        <v>4244</v>
      </c>
      <c r="G268">
        <v>4662</v>
      </c>
      <c r="H268">
        <v>12416.89</v>
      </c>
      <c r="I268" s="43">
        <f t="shared" si="13"/>
        <v>5.395833333333333E-2</v>
      </c>
      <c r="J268" s="44">
        <f t="shared" si="14"/>
        <v>12.416889999999999</v>
      </c>
      <c r="K268" s="44">
        <f t="shared" si="15"/>
        <v>36.735328173049226</v>
      </c>
      <c r="L268" s="96" t="s">
        <v>266</v>
      </c>
      <c r="M268" s="47"/>
      <c r="N268" s="55"/>
    </row>
    <row r="269" spans="1:14" x14ac:dyDescent="0.25">
      <c r="A269" s="41" t="s">
        <v>102</v>
      </c>
      <c r="B269" s="41" t="s">
        <v>224</v>
      </c>
      <c r="C269" s="41" t="s">
        <v>228</v>
      </c>
      <c r="D269" s="42">
        <v>45662.767361111109</v>
      </c>
      <c r="E269" s="42">
        <v>45662.772222222222</v>
      </c>
      <c r="F269">
        <v>35</v>
      </c>
      <c r="G269">
        <v>445</v>
      </c>
      <c r="H269">
        <v>46.5</v>
      </c>
      <c r="I269" s="48">
        <f t="shared" si="13"/>
        <v>5.1504629629629626E-3</v>
      </c>
      <c r="J269" s="49">
        <f t="shared" si="14"/>
        <v>4.65E-2</v>
      </c>
      <c r="K269" s="49">
        <f t="shared" si="15"/>
        <v>0.13757009686377097</v>
      </c>
      <c r="L269" s="96" t="s">
        <v>266</v>
      </c>
      <c r="M269" s="47"/>
      <c r="N269" s="55"/>
    </row>
    <row r="270" spans="1:14" x14ac:dyDescent="0.25">
      <c r="A270" s="41" t="s">
        <v>103</v>
      </c>
      <c r="B270" s="41" t="s">
        <v>224</v>
      </c>
      <c r="C270" s="41" t="s">
        <v>225</v>
      </c>
      <c r="D270" s="42">
        <v>45662.675694444442</v>
      </c>
      <c r="E270" s="42">
        <v>45662.731944444444</v>
      </c>
      <c r="F270">
        <v>4484</v>
      </c>
      <c r="G270">
        <v>4879</v>
      </c>
      <c r="H270">
        <v>12718.672</v>
      </c>
      <c r="I270" s="43">
        <f t="shared" si="13"/>
        <v>5.6469907407407406E-2</v>
      </c>
      <c r="J270" s="44">
        <f t="shared" si="14"/>
        <v>12.718672</v>
      </c>
      <c r="K270" s="44">
        <f t="shared" si="15"/>
        <v>37.628149226204982</v>
      </c>
      <c r="L270" s="96" t="s">
        <v>266</v>
      </c>
      <c r="M270" s="47"/>
      <c r="N270" s="55"/>
    </row>
    <row r="271" spans="1:14" x14ac:dyDescent="0.25">
      <c r="A271" s="41" t="s">
        <v>104</v>
      </c>
      <c r="B271" s="41" t="s">
        <v>224</v>
      </c>
      <c r="C271" s="41" t="s">
        <v>225</v>
      </c>
      <c r="D271" s="42">
        <v>45662.65625</v>
      </c>
      <c r="E271" s="42">
        <v>45662.665972222225</v>
      </c>
      <c r="F271">
        <v>404</v>
      </c>
      <c r="G271">
        <v>830</v>
      </c>
      <c r="H271">
        <v>713.41600000000005</v>
      </c>
      <c r="I271" s="48">
        <f t="shared" si="13"/>
        <v>9.6064814814814815E-3</v>
      </c>
      <c r="J271" s="49">
        <f t="shared" si="14"/>
        <v>0.71341600000000005</v>
      </c>
      <c r="K271" s="49">
        <f t="shared" si="15"/>
        <v>2.1106388865411621</v>
      </c>
      <c r="L271" s="96"/>
      <c r="M271" s="47"/>
      <c r="N271" s="55"/>
    </row>
    <row r="272" spans="1:14" x14ac:dyDescent="0.25">
      <c r="A272" s="41" t="s">
        <v>105</v>
      </c>
      <c r="B272" s="41" t="s">
        <v>224</v>
      </c>
      <c r="C272" s="41" t="s">
        <v>225</v>
      </c>
      <c r="D272" s="42">
        <v>45661.606249999997</v>
      </c>
      <c r="E272" s="42">
        <v>45661.678472222222</v>
      </c>
      <c r="F272">
        <v>5869</v>
      </c>
      <c r="G272">
        <v>6269</v>
      </c>
      <c r="H272">
        <v>17674.307000000001</v>
      </c>
      <c r="I272" s="43">
        <f t="shared" si="13"/>
        <v>7.255787037037037E-2</v>
      </c>
      <c r="J272" s="44">
        <f t="shared" si="14"/>
        <v>17.674307000000002</v>
      </c>
      <c r="K272" s="44">
        <f t="shared" si="15"/>
        <v>52.289379053548934</v>
      </c>
      <c r="L272" s="96"/>
      <c r="M272" s="47"/>
      <c r="N272" s="55"/>
    </row>
    <row r="273" spans="1:14" x14ac:dyDescent="0.25">
      <c r="A273" s="41" t="s">
        <v>106</v>
      </c>
      <c r="B273" s="41" t="s">
        <v>224</v>
      </c>
      <c r="C273" s="41" t="s">
        <v>225</v>
      </c>
      <c r="D273" s="42">
        <v>45661.519444444442</v>
      </c>
      <c r="E273" s="42">
        <v>45661.588888888888</v>
      </c>
      <c r="F273">
        <v>5606</v>
      </c>
      <c r="G273">
        <v>5983</v>
      </c>
      <c r="H273">
        <v>17962.182000000001</v>
      </c>
      <c r="I273" s="48">
        <f t="shared" si="13"/>
        <v>6.924768518518519E-2</v>
      </c>
      <c r="J273" s="49">
        <f t="shared" si="14"/>
        <v>17.962182000000002</v>
      </c>
      <c r="K273" s="49">
        <f t="shared" si="15"/>
        <v>53.141056293003942</v>
      </c>
      <c r="L273" s="96" t="s">
        <v>266</v>
      </c>
      <c r="M273" s="47"/>
      <c r="N273" s="55"/>
    </row>
    <row r="274" spans="1:14" x14ac:dyDescent="0.25">
      <c r="A274" s="41" t="s">
        <v>107</v>
      </c>
      <c r="B274" s="41" t="s">
        <v>224</v>
      </c>
      <c r="C274" s="41" t="s">
        <v>225</v>
      </c>
      <c r="D274" s="42">
        <v>45660.815972222219</v>
      </c>
      <c r="E274" s="42">
        <v>45660.974999999999</v>
      </c>
      <c r="F274">
        <v>13338</v>
      </c>
      <c r="G274">
        <v>13765</v>
      </c>
      <c r="H274">
        <v>17301.864000000001</v>
      </c>
      <c r="I274" s="43">
        <f t="shared" si="13"/>
        <v>0.15931712962962963</v>
      </c>
      <c r="J274" s="44">
        <f t="shared" si="14"/>
        <v>17.301864000000002</v>
      </c>
      <c r="K274" s="44">
        <f t="shared" si="15"/>
        <v>51.187507664597682</v>
      </c>
      <c r="L274" s="96"/>
      <c r="M274" s="47"/>
      <c r="N274" s="55"/>
    </row>
    <row r="275" spans="1:14" x14ac:dyDescent="0.25">
      <c r="A275" s="41" t="s">
        <v>108</v>
      </c>
      <c r="B275" s="41" t="s">
        <v>224</v>
      </c>
      <c r="C275" s="41" t="s">
        <v>225</v>
      </c>
      <c r="D275" s="42">
        <v>45660.604166666664</v>
      </c>
      <c r="E275" s="42">
        <v>45660.727777777778</v>
      </c>
      <c r="F275">
        <v>10170</v>
      </c>
      <c r="G275">
        <v>10663</v>
      </c>
      <c r="H275">
        <v>19470.046999999999</v>
      </c>
      <c r="I275" s="48">
        <f t="shared" si="13"/>
        <v>0.12341435185185186</v>
      </c>
      <c r="J275" s="49">
        <f t="shared" si="14"/>
        <v>19.470046999999997</v>
      </c>
      <c r="K275" s="49">
        <f t="shared" si="15"/>
        <v>57.602069929724152</v>
      </c>
      <c r="L275" s="96" t="s">
        <v>269</v>
      </c>
      <c r="M275" s="47"/>
      <c r="N275" s="55"/>
    </row>
    <row r="276" spans="1:14" x14ac:dyDescent="0.25">
      <c r="A276" s="41" t="s">
        <v>109</v>
      </c>
      <c r="B276" s="41" t="s">
        <v>224</v>
      </c>
      <c r="C276" s="41" t="s">
        <v>225</v>
      </c>
      <c r="D276" s="42">
        <v>45660.581944444442</v>
      </c>
      <c r="E276" s="42">
        <v>45660.590277777781</v>
      </c>
      <c r="F276">
        <v>398</v>
      </c>
      <c r="G276">
        <v>700</v>
      </c>
      <c r="H276">
        <v>713.76900000000001</v>
      </c>
      <c r="I276" s="43">
        <f t="shared" si="13"/>
        <v>8.1018518518518514E-3</v>
      </c>
      <c r="J276" s="44">
        <f t="shared" si="14"/>
        <v>0.71376899999999999</v>
      </c>
      <c r="K276" s="44">
        <f t="shared" si="15"/>
        <v>2.1116832358786435</v>
      </c>
      <c r="L276" s="96"/>
      <c r="M276" s="47"/>
      <c r="N276" s="55"/>
    </row>
    <row r="277" spans="1:14" x14ac:dyDescent="0.25">
      <c r="A277" s="41" t="s">
        <v>110</v>
      </c>
      <c r="B277" s="41" t="s">
        <v>224</v>
      </c>
      <c r="C277" s="41" t="s">
        <v>225</v>
      </c>
      <c r="D277" s="42">
        <v>45660.554861111108</v>
      </c>
      <c r="E277" s="42">
        <v>45660.563888888886</v>
      </c>
      <c r="F277">
        <v>445</v>
      </c>
      <c r="G277">
        <v>781</v>
      </c>
      <c r="H277">
        <v>548.68499999999995</v>
      </c>
      <c r="I277" s="48">
        <f t="shared" si="13"/>
        <v>9.0393518518518522E-3</v>
      </c>
      <c r="J277" s="49">
        <f t="shared" si="14"/>
        <v>0.54868499999999998</v>
      </c>
      <c r="K277" s="49">
        <f t="shared" si="15"/>
        <v>1.623282765541896</v>
      </c>
      <c r="L277" s="96"/>
      <c r="M277" s="47"/>
      <c r="N277" s="55"/>
    </row>
    <row r="278" spans="1:14" x14ac:dyDescent="0.25">
      <c r="A278" s="41" t="s">
        <v>111</v>
      </c>
      <c r="B278" s="41" t="s">
        <v>224</v>
      </c>
      <c r="C278" s="41" t="s">
        <v>225</v>
      </c>
      <c r="D278" s="42">
        <v>45659.847916666666</v>
      </c>
      <c r="E278" s="42">
        <v>45659.938888888886</v>
      </c>
      <c r="F278">
        <v>7479</v>
      </c>
      <c r="G278">
        <v>7836</v>
      </c>
      <c r="H278">
        <v>12159.781999999999</v>
      </c>
      <c r="I278" s="43">
        <f t="shared" si="13"/>
        <v>9.0694444444444439E-2</v>
      </c>
      <c r="J278" s="44">
        <f t="shared" si="14"/>
        <v>12.159782</v>
      </c>
      <c r="K278" s="44">
        <f t="shared" si="15"/>
        <v>35.974675001770727</v>
      </c>
      <c r="L278" s="96" t="s">
        <v>268</v>
      </c>
      <c r="M278" s="47"/>
      <c r="N278" s="55"/>
    </row>
    <row r="279" spans="1:14" x14ac:dyDescent="0.25">
      <c r="A279" s="41" t="s">
        <v>112</v>
      </c>
      <c r="B279" s="41" t="s">
        <v>224</v>
      </c>
      <c r="C279" s="41" t="s">
        <v>225</v>
      </c>
      <c r="D279" s="42">
        <v>45656.854166666664</v>
      </c>
      <c r="E279" s="42">
        <v>45656.901388888888</v>
      </c>
      <c r="F279">
        <v>3677</v>
      </c>
      <c r="G279">
        <v>4069</v>
      </c>
      <c r="H279">
        <v>9158.6730000000007</v>
      </c>
      <c r="I279" s="48">
        <f t="shared" si="13"/>
        <v>4.7094907407407405E-2</v>
      </c>
      <c r="J279" s="49">
        <f t="shared" si="14"/>
        <v>9.1586730000000003</v>
      </c>
      <c r="K279" s="49">
        <f t="shared" si="15"/>
        <v>27.095903908679656</v>
      </c>
      <c r="L279" s="96" t="s">
        <v>267</v>
      </c>
      <c r="M279" s="47"/>
      <c r="N279" s="55"/>
    </row>
    <row r="280" spans="1:14" x14ac:dyDescent="0.25">
      <c r="A280" s="41" t="s">
        <v>113</v>
      </c>
      <c r="B280" s="41" t="s">
        <v>224</v>
      </c>
      <c r="C280" s="41" t="s">
        <v>225</v>
      </c>
      <c r="D280" s="42">
        <v>45656.460416666669</v>
      </c>
      <c r="E280" s="42">
        <v>45656.482638888891</v>
      </c>
      <c r="F280">
        <v>1623</v>
      </c>
      <c r="G280">
        <v>1935</v>
      </c>
      <c r="H280">
        <v>2841.5529999999999</v>
      </c>
      <c r="I280" s="43">
        <f t="shared" si="13"/>
        <v>2.2395833333333334E-2</v>
      </c>
      <c r="J280" s="44">
        <f t="shared" si="14"/>
        <v>2.8415529999999998</v>
      </c>
      <c r="K280" s="44">
        <f t="shared" si="15"/>
        <v>8.4067251925492261</v>
      </c>
      <c r="L280" s="96"/>
      <c r="M280" s="47"/>
      <c r="N280" s="55"/>
    </row>
    <row r="281" spans="1:14" x14ac:dyDescent="0.25">
      <c r="A281" s="41" t="s">
        <v>114</v>
      </c>
      <c r="B281" s="41" t="s">
        <v>224</v>
      </c>
      <c r="C281" s="41" t="s">
        <v>225</v>
      </c>
      <c r="D281" s="42">
        <v>45656.436111111114</v>
      </c>
      <c r="E281" s="42">
        <v>45656.459722222222</v>
      </c>
      <c r="F281">
        <v>1626</v>
      </c>
      <c r="G281">
        <v>1991</v>
      </c>
      <c r="H281">
        <v>2862.3910000000001</v>
      </c>
      <c r="I281" s="48">
        <f t="shared" si="13"/>
        <v>2.3043981481481481E-2</v>
      </c>
      <c r="J281" s="49">
        <f t="shared" si="14"/>
        <v>2.8623910000000001</v>
      </c>
      <c r="K281" s="49">
        <f t="shared" si="15"/>
        <v>8.4683743469244366</v>
      </c>
      <c r="L281" s="96"/>
      <c r="M281" s="47"/>
      <c r="N281" s="55"/>
    </row>
    <row r="282" spans="1:14" x14ac:dyDescent="0.25">
      <c r="A282" s="41" t="s">
        <v>115</v>
      </c>
      <c r="B282" s="41" t="s">
        <v>224</v>
      </c>
      <c r="C282" s="41" t="s">
        <v>228</v>
      </c>
      <c r="D282" s="42">
        <v>45655.895833333336</v>
      </c>
      <c r="E282" s="42">
        <v>45655.929166666669</v>
      </c>
      <c r="F282">
        <v>2494</v>
      </c>
      <c r="G282">
        <v>2844</v>
      </c>
      <c r="H282">
        <v>3601.3960000000002</v>
      </c>
      <c r="I282" s="43">
        <f t="shared" si="13"/>
        <v>3.2916666666666664E-2</v>
      </c>
      <c r="J282" s="44">
        <f t="shared" si="14"/>
        <v>3.6013960000000003</v>
      </c>
      <c r="K282" s="44">
        <f t="shared" si="15"/>
        <v>10.654718205694566</v>
      </c>
      <c r="L282" s="96"/>
      <c r="M282" s="47"/>
      <c r="N282" s="55"/>
    </row>
    <row r="283" spans="1:14" x14ac:dyDescent="0.25">
      <c r="A283" s="41" t="s">
        <v>116</v>
      </c>
      <c r="B283" s="41" t="s">
        <v>224</v>
      </c>
      <c r="C283" s="41" t="s">
        <v>225</v>
      </c>
      <c r="D283" s="42">
        <v>45655.802777777775</v>
      </c>
      <c r="E283" s="42">
        <v>45655.840277777781</v>
      </c>
      <c r="F283">
        <v>2758</v>
      </c>
      <c r="G283">
        <v>3198</v>
      </c>
      <c r="H283">
        <v>5346.0870000000004</v>
      </c>
      <c r="I283" s="48">
        <f t="shared" si="13"/>
        <v>3.7013888888888888E-2</v>
      </c>
      <c r="J283" s="49">
        <f t="shared" si="14"/>
        <v>5.3460870000000007</v>
      </c>
      <c r="K283" s="49">
        <f t="shared" si="15"/>
        <v>15.816380783487027</v>
      </c>
      <c r="L283" s="96"/>
      <c r="M283" s="47"/>
      <c r="N283" s="55"/>
    </row>
    <row r="284" spans="1:14" x14ac:dyDescent="0.25">
      <c r="A284" s="41" t="s">
        <v>117</v>
      </c>
      <c r="B284" s="41" t="s">
        <v>224</v>
      </c>
      <c r="C284" s="41" t="s">
        <v>228</v>
      </c>
      <c r="D284" s="42">
        <v>45655.680555555555</v>
      </c>
      <c r="E284" s="42">
        <v>45655.708333333336</v>
      </c>
      <c r="F284">
        <v>2032</v>
      </c>
      <c r="G284">
        <v>2432</v>
      </c>
      <c r="H284">
        <v>7876.3389999999999</v>
      </c>
      <c r="I284" s="48">
        <f t="shared" ref="I284:I347" si="16">G284/86400</f>
        <v>2.8148148148148148E-2</v>
      </c>
      <c r="J284" s="49">
        <f t="shared" ref="J284:J347" si="17">H284/1000</f>
        <v>7.8763389999999998</v>
      </c>
      <c r="K284" s="49">
        <f t="shared" ref="K284:K347" si="18">1.23*PI()*(1.75/2)^2*H284/1000</f>
        <v>23.302122992728968</v>
      </c>
      <c r="L284" s="96"/>
      <c r="M284" s="47"/>
      <c r="N284" s="55"/>
    </row>
    <row r="285" spans="1:14" x14ac:dyDescent="0.25">
      <c r="A285" s="41" t="s">
        <v>118</v>
      </c>
      <c r="B285" s="41" t="s">
        <v>224</v>
      </c>
      <c r="C285" s="41" t="s">
        <v>225</v>
      </c>
      <c r="D285" s="42">
        <v>45655.669444444444</v>
      </c>
      <c r="E285" s="42">
        <v>45655.677777777775</v>
      </c>
      <c r="F285">
        <v>348</v>
      </c>
      <c r="G285">
        <v>773</v>
      </c>
      <c r="H285">
        <v>491.005</v>
      </c>
      <c r="I285" s="43">
        <f t="shared" si="16"/>
        <v>8.9467592592592585E-3</v>
      </c>
      <c r="J285" s="44">
        <f t="shared" si="17"/>
        <v>0.49100499999999997</v>
      </c>
      <c r="K285" s="44">
        <f t="shared" si="18"/>
        <v>1.4526366754966853</v>
      </c>
      <c r="L285" s="96"/>
      <c r="M285" s="47"/>
      <c r="N285" s="55"/>
    </row>
    <row r="286" spans="1:14" x14ac:dyDescent="0.25">
      <c r="A286" s="41" t="s">
        <v>79</v>
      </c>
      <c r="B286" s="41" t="s">
        <v>224</v>
      </c>
      <c r="C286" s="41" t="s">
        <v>225</v>
      </c>
      <c r="D286" s="42">
        <v>45655.594444444447</v>
      </c>
      <c r="E286" s="42">
        <v>45655.663194444445</v>
      </c>
      <c r="F286">
        <v>5457</v>
      </c>
      <c r="G286">
        <v>5931</v>
      </c>
      <c r="H286">
        <v>20358.616000000002</v>
      </c>
      <c r="I286" s="48">
        <f t="shared" si="16"/>
        <v>6.8645833333333336E-2</v>
      </c>
      <c r="J286" s="49">
        <f t="shared" si="17"/>
        <v>20.358616000000001</v>
      </c>
      <c r="K286" s="49">
        <f t="shared" si="18"/>
        <v>60.230898389942318</v>
      </c>
      <c r="L286" s="96" t="s">
        <v>266</v>
      </c>
      <c r="M286" s="47"/>
      <c r="N286" s="55"/>
    </row>
    <row r="287" spans="1:14" x14ac:dyDescent="0.25">
      <c r="A287" s="41" t="s">
        <v>79</v>
      </c>
      <c r="B287" s="41" t="s">
        <v>224</v>
      </c>
      <c r="C287" s="41" t="s">
        <v>228</v>
      </c>
      <c r="D287" s="42">
        <v>45655.586111111108</v>
      </c>
      <c r="E287" s="42">
        <v>45655.591666666667</v>
      </c>
      <c r="F287">
        <v>63</v>
      </c>
      <c r="G287">
        <v>486</v>
      </c>
      <c r="H287">
        <v>83.894999999999996</v>
      </c>
      <c r="I287" s="48">
        <f t="shared" si="16"/>
        <v>5.6249999999999998E-3</v>
      </c>
      <c r="J287" s="49">
        <f t="shared" si="17"/>
        <v>8.3894999999999997E-2</v>
      </c>
      <c r="K287" s="49">
        <f t="shared" si="18"/>
        <v>0.24820308121260354</v>
      </c>
      <c r="L287" s="96" t="s">
        <v>266</v>
      </c>
      <c r="M287" s="47"/>
      <c r="N287" s="55"/>
    </row>
    <row r="288" spans="1:14" x14ac:dyDescent="0.25">
      <c r="A288" s="41" t="s">
        <v>119</v>
      </c>
      <c r="B288" s="41" t="s">
        <v>224</v>
      </c>
      <c r="C288" s="41" t="s">
        <v>225</v>
      </c>
      <c r="D288" s="42">
        <v>45655.500694444447</v>
      </c>
      <c r="E288" s="42">
        <v>45655.569444444445</v>
      </c>
      <c r="F288">
        <v>5532</v>
      </c>
      <c r="G288">
        <v>5996</v>
      </c>
      <c r="H288">
        <v>21801.066999999999</v>
      </c>
      <c r="I288" s="43">
        <f t="shared" si="16"/>
        <v>6.9398148148148153E-2</v>
      </c>
      <c r="J288" s="44">
        <f t="shared" si="17"/>
        <v>21.801067</v>
      </c>
      <c r="K288" s="44">
        <f t="shared" si="18"/>
        <v>64.498384923087329</v>
      </c>
      <c r="L288" s="96" t="s">
        <v>266</v>
      </c>
      <c r="M288" s="47"/>
      <c r="N288" s="55"/>
    </row>
    <row r="289" spans="1:14" x14ac:dyDescent="0.25">
      <c r="A289" s="41" t="s">
        <v>120</v>
      </c>
      <c r="B289" s="41" t="s">
        <v>224</v>
      </c>
      <c r="C289" s="41" t="s">
        <v>225</v>
      </c>
      <c r="D289" s="42">
        <v>45653.912499999999</v>
      </c>
      <c r="E289" s="42">
        <v>45653.938194444447</v>
      </c>
      <c r="F289">
        <v>1875</v>
      </c>
      <c r="G289">
        <v>2226</v>
      </c>
      <c r="H289">
        <v>3634.6689999999999</v>
      </c>
      <c r="I289" s="48">
        <f t="shared" si="16"/>
        <v>2.5763888888888888E-2</v>
      </c>
      <c r="J289" s="49">
        <f t="shared" si="17"/>
        <v>3.6346689999999997</v>
      </c>
      <c r="K289" s="49">
        <f t="shared" si="18"/>
        <v>10.753156266618184</v>
      </c>
      <c r="L289" s="96" t="s">
        <v>265</v>
      </c>
      <c r="M289" s="47"/>
      <c r="N289" s="55"/>
    </row>
    <row r="290" spans="1:14" x14ac:dyDescent="0.25">
      <c r="A290" s="41" t="s">
        <v>121</v>
      </c>
      <c r="B290" s="41" t="s">
        <v>224</v>
      </c>
      <c r="C290" s="41" t="s">
        <v>225</v>
      </c>
      <c r="D290" s="42">
        <v>45652.913194444445</v>
      </c>
      <c r="E290" s="42">
        <v>45652.981249999997</v>
      </c>
      <c r="F290">
        <v>5517</v>
      </c>
      <c r="G290">
        <v>5916</v>
      </c>
      <c r="H290">
        <v>11218.779</v>
      </c>
      <c r="I290" s="48">
        <f t="shared" si="16"/>
        <v>6.8472222222222226E-2</v>
      </c>
      <c r="J290" s="49">
        <f t="shared" si="17"/>
        <v>11.218779</v>
      </c>
      <c r="K290" s="49">
        <f t="shared" si="18"/>
        <v>33.19072072523096</v>
      </c>
      <c r="L290" s="96"/>
      <c r="M290" s="47"/>
      <c r="N290" s="55"/>
    </row>
    <row r="291" spans="1:14" x14ac:dyDescent="0.25">
      <c r="A291" s="41" t="s">
        <v>121</v>
      </c>
      <c r="B291" s="41" t="s">
        <v>224</v>
      </c>
      <c r="C291" s="41" t="s">
        <v>228</v>
      </c>
      <c r="D291" s="42">
        <v>45652.901388888888</v>
      </c>
      <c r="E291" s="42">
        <v>45652.907638888886</v>
      </c>
      <c r="F291">
        <v>152</v>
      </c>
      <c r="G291">
        <v>553</v>
      </c>
      <c r="H291">
        <v>183.28</v>
      </c>
      <c r="I291" s="43">
        <f t="shared" si="16"/>
        <v>6.4004629629629628E-3</v>
      </c>
      <c r="J291" s="44">
        <f t="shared" si="17"/>
        <v>0.18328</v>
      </c>
      <c r="K291" s="44">
        <f t="shared" si="18"/>
        <v>0.54223327641273</v>
      </c>
      <c r="L291" s="96"/>
      <c r="M291" s="47"/>
      <c r="N291" s="55"/>
    </row>
    <row r="292" spans="1:14" x14ac:dyDescent="0.25">
      <c r="A292" s="41" t="s">
        <v>122</v>
      </c>
      <c r="B292" s="41" t="s">
        <v>224</v>
      </c>
      <c r="C292" s="41" t="s">
        <v>225</v>
      </c>
      <c r="D292" s="42">
        <v>45652.876388888886</v>
      </c>
      <c r="E292" s="42">
        <v>45652.899305555555</v>
      </c>
      <c r="F292">
        <v>1580</v>
      </c>
      <c r="G292">
        <v>1995</v>
      </c>
      <c r="H292">
        <v>3946.07</v>
      </c>
      <c r="I292" s="48">
        <f t="shared" si="16"/>
        <v>2.3090277777777779E-2</v>
      </c>
      <c r="J292" s="49">
        <f t="shared" si="17"/>
        <v>3.9460700000000002</v>
      </c>
      <c r="K292" s="49">
        <f t="shared" si="18"/>
        <v>11.674435099596145</v>
      </c>
      <c r="L292" s="96"/>
      <c r="M292" s="47"/>
      <c r="N292" s="55"/>
    </row>
    <row r="293" spans="1:14" x14ac:dyDescent="0.25">
      <c r="A293" s="41" t="s">
        <v>123</v>
      </c>
      <c r="B293" s="41" t="s">
        <v>224</v>
      </c>
      <c r="C293" s="41" t="s">
        <v>225</v>
      </c>
      <c r="D293" s="42">
        <v>45652.834027777775</v>
      </c>
      <c r="E293" s="42">
        <v>45652.86041666667</v>
      </c>
      <c r="F293">
        <v>1882</v>
      </c>
      <c r="G293">
        <v>2283</v>
      </c>
      <c r="H293">
        <v>4126.8209999999999</v>
      </c>
      <c r="I293" s="48">
        <f t="shared" si="16"/>
        <v>2.642361111111111E-2</v>
      </c>
      <c r="J293" s="49">
        <f t="shared" si="17"/>
        <v>4.1268209999999996</v>
      </c>
      <c r="K293" s="49">
        <f t="shared" si="18"/>
        <v>12.20918633783751</v>
      </c>
      <c r="L293" s="96"/>
      <c r="M293" s="47"/>
      <c r="N293" s="55"/>
    </row>
    <row r="294" spans="1:14" x14ac:dyDescent="0.25">
      <c r="A294" s="41" t="s">
        <v>123</v>
      </c>
      <c r="B294" s="41" t="s">
        <v>224</v>
      </c>
      <c r="C294" s="41" t="s">
        <v>228</v>
      </c>
      <c r="D294" s="42">
        <v>45652.826388888891</v>
      </c>
      <c r="E294" s="42">
        <v>45652.833333333336</v>
      </c>
      <c r="F294">
        <v>58</v>
      </c>
      <c r="G294">
        <v>581</v>
      </c>
      <c r="H294">
        <v>104.09</v>
      </c>
      <c r="I294" s="43">
        <f t="shared" si="16"/>
        <v>6.7245370370370367E-3</v>
      </c>
      <c r="J294" s="44">
        <f t="shared" si="17"/>
        <v>0.10409</v>
      </c>
      <c r="K294" s="44">
        <f t="shared" si="18"/>
        <v>0.30794992220537465</v>
      </c>
      <c r="L294" s="96"/>
      <c r="M294" s="47"/>
      <c r="N294" s="55"/>
    </row>
    <row r="295" spans="1:14" x14ac:dyDescent="0.25">
      <c r="A295" s="41" t="s">
        <v>124</v>
      </c>
      <c r="B295" s="41" t="s">
        <v>224</v>
      </c>
      <c r="C295" s="41" t="s">
        <v>225</v>
      </c>
      <c r="D295" s="42">
        <v>45652.799305555556</v>
      </c>
      <c r="E295" s="42">
        <v>45652.815972222219</v>
      </c>
      <c r="F295">
        <v>1159</v>
      </c>
      <c r="G295">
        <v>1447</v>
      </c>
      <c r="H295">
        <v>2712.3090000000002</v>
      </c>
      <c r="I295" s="48">
        <f t="shared" si="16"/>
        <v>1.6747685185185185E-2</v>
      </c>
      <c r="J295" s="49">
        <f t="shared" si="17"/>
        <v>2.7123090000000003</v>
      </c>
      <c r="K295" s="49">
        <f t="shared" si="18"/>
        <v>8.0243572441823172</v>
      </c>
      <c r="L295" s="96"/>
      <c r="M295" s="47"/>
      <c r="N295" s="55"/>
    </row>
    <row r="296" spans="1:14" x14ac:dyDescent="0.25">
      <c r="A296" s="41" t="s">
        <v>124</v>
      </c>
      <c r="B296" s="41" t="s">
        <v>224</v>
      </c>
      <c r="C296" s="41" t="s">
        <v>228</v>
      </c>
      <c r="D296" s="42">
        <v>45652.790277777778</v>
      </c>
      <c r="E296" s="42">
        <v>45652.795138888891</v>
      </c>
      <c r="F296">
        <v>80</v>
      </c>
      <c r="G296">
        <v>435</v>
      </c>
      <c r="H296">
        <v>89.542000000000002</v>
      </c>
      <c r="I296" s="48">
        <f t="shared" si="16"/>
        <v>5.0347222222222225E-3</v>
      </c>
      <c r="J296" s="49">
        <f t="shared" si="17"/>
        <v>8.9541999999999997E-2</v>
      </c>
      <c r="K296" s="49">
        <f t="shared" si="18"/>
        <v>0.26490971211560815</v>
      </c>
      <c r="L296" s="96"/>
      <c r="M296" s="47"/>
      <c r="N296" s="55"/>
    </row>
    <row r="297" spans="1:14" x14ac:dyDescent="0.25">
      <c r="A297" s="41" t="s">
        <v>125</v>
      </c>
      <c r="B297" s="41" t="s">
        <v>224</v>
      </c>
      <c r="C297" s="41" t="s">
        <v>225</v>
      </c>
      <c r="D297" s="42">
        <v>45651.897916666669</v>
      </c>
      <c r="E297" s="42">
        <v>45651.945138888892</v>
      </c>
      <c r="F297">
        <v>3592</v>
      </c>
      <c r="G297">
        <v>4051</v>
      </c>
      <c r="H297">
        <v>9144.2360000000008</v>
      </c>
      <c r="I297" s="43">
        <f t="shared" si="16"/>
        <v>4.6886574074074074E-2</v>
      </c>
      <c r="J297" s="44">
        <f t="shared" si="17"/>
        <v>9.1442360000000011</v>
      </c>
      <c r="K297" s="44">
        <f t="shared" si="18"/>
        <v>27.053192091724338</v>
      </c>
      <c r="L297" s="96"/>
      <c r="M297" s="47"/>
      <c r="N297" s="55"/>
    </row>
    <row r="298" spans="1:14" x14ac:dyDescent="0.25">
      <c r="A298" s="41" t="s">
        <v>126</v>
      </c>
      <c r="B298" s="41" t="s">
        <v>224</v>
      </c>
      <c r="C298" s="41" t="s">
        <v>225</v>
      </c>
      <c r="D298" s="42">
        <v>45650.936805555553</v>
      </c>
      <c r="E298" s="42">
        <v>45650.950694444444</v>
      </c>
      <c r="F298">
        <v>791</v>
      </c>
      <c r="G298">
        <v>1215</v>
      </c>
      <c r="H298">
        <v>1801.6610000000001</v>
      </c>
      <c r="I298" s="48">
        <f t="shared" si="16"/>
        <v>1.40625E-2</v>
      </c>
      <c r="J298" s="49">
        <f t="shared" si="17"/>
        <v>1.801661</v>
      </c>
      <c r="K298" s="49">
        <f t="shared" si="18"/>
        <v>5.3302081351758819</v>
      </c>
      <c r="L298" s="96"/>
      <c r="M298" s="47"/>
      <c r="N298" s="55"/>
    </row>
    <row r="299" spans="1:14" x14ac:dyDescent="0.25">
      <c r="A299" s="41" t="s">
        <v>127</v>
      </c>
      <c r="B299" s="41" t="s">
        <v>224</v>
      </c>
      <c r="C299" s="41" t="s">
        <v>225</v>
      </c>
      <c r="D299" s="42">
        <v>45650.886805555558</v>
      </c>
      <c r="E299" s="42">
        <v>45650.902777777781</v>
      </c>
      <c r="F299">
        <v>1018</v>
      </c>
      <c r="G299">
        <v>1377</v>
      </c>
      <c r="H299">
        <v>2199.6959999999999</v>
      </c>
      <c r="I299" s="48">
        <f t="shared" si="16"/>
        <v>1.59375E-2</v>
      </c>
      <c r="J299" s="49">
        <f t="shared" si="17"/>
        <v>2.1996959999999999</v>
      </c>
      <c r="K299" s="49">
        <f t="shared" si="18"/>
        <v>6.5077933718462262</v>
      </c>
      <c r="L299" s="96"/>
      <c r="M299" s="47"/>
      <c r="N299" s="55"/>
    </row>
    <row r="300" spans="1:14" x14ac:dyDescent="0.25">
      <c r="A300" s="41" t="s">
        <v>128</v>
      </c>
      <c r="B300" s="41" t="s">
        <v>224</v>
      </c>
      <c r="C300" s="41" t="s">
        <v>225</v>
      </c>
      <c r="D300" s="42">
        <v>45648.921527777777</v>
      </c>
      <c r="E300" s="42">
        <v>45648.95208333333</v>
      </c>
      <c r="F300">
        <v>2332</v>
      </c>
      <c r="G300">
        <v>2679</v>
      </c>
      <c r="H300">
        <v>4115.3109999999997</v>
      </c>
      <c r="I300" s="43">
        <f t="shared" si="16"/>
        <v>3.1006944444444445E-2</v>
      </c>
      <c r="J300" s="44">
        <f t="shared" si="17"/>
        <v>4.1153109999999993</v>
      </c>
      <c r="K300" s="44">
        <f t="shared" si="18"/>
        <v>12.175134040742842</v>
      </c>
      <c r="L300" s="96"/>
      <c r="M300" s="47"/>
      <c r="N300" s="55"/>
    </row>
    <row r="301" spans="1:14" x14ac:dyDescent="0.25">
      <c r="A301" s="41" t="s">
        <v>129</v>
      </c>
      <c r="B301" s="41" t="s">
        <v>224</v>
      </c>
      <c r="C301" s="41" t="s">
        <v>225</v>
      </c>
      <c r="D301" s="42">
        <v>45648.863194444442</v>
      </c>
      <c r="E301" s="42">
        <v>45648.886111111111</v>
      </c>
      <c r="F301">
        <v>1613</v>
      </c>
      <c r="G301">
        <v>1947</v>
      </c>
      <c r="H301">
        <v>3204.31</v>
      </c>
      <c r="I301" s="48">
        <f t="shared" si="16"/>
        <v>2.2534722222222223E-2</v>
      </c>
      <c r="J301" s="49">
        <f t="shared" si="17"/>
        <v>3.20431</v>
      </c>
      <c r="K301" s="49">
        <f t="shared" si="18"/>
        <v>9.4799405823989229</v>
      </c>
      <c r="L301" s="96"/>
      <c r="M301" s="47"/>
      <c r="N301" s="55"/>
    </row>
    <row r="302" spans="1:14" x14ac:dyDescent="0.25">
      <c r="A302" s="41" t="s">
        <v>130</v>
      </c>
      <c r="B302" s="41" t="s">
        <v>224</v>
      </c>
      <c r="C302" s="41" t="s">
        <v>225</v>
      </c>
      <c r="D302" s="42">
        <v>45648.813194444447</v>
      </c>
      <c r="E302" s="42">
        <v>45648.836805555555</v>
      </c>
      <c r="F302">
        <v>1741</v>
      </c>
      <c r="G302">
        <v>2054</v>
      </c>
      <c r="H302">
        <v>3396.328</v>
      </c>
      <c r="I302" s="48">
        <f t="shared" si="16"/>
        <v>2.3773148148148147E-2</v>
      </c>
      <c r="J302" s="49">
        <f t="shared" si="17"/>
        <v>3.396328</v>
      </c>
      <c r="K302" s="49">
        <f t="shared" si="18"/>
        <v>10.048025203035214</v>
      </c>
      <c r="L302" s="96"/>
      <c r="M302" s="47"/>
      <c r="N302" s="55"/>
    </row>
    <row r="303" spans="1:14" x14ac:dyDescent="0.25">
      <c r="A303" s="41" t="s">
        <v>131</v>
      </c>
      <c r="B303" s="41" t="s">
        <v>224</v>
      </c>
      <c r="C303" s="41" t="s">
        <v>225</v>
      </c>
      <c r="D303" s="42">
        <v>45648.793749999997</v>
      </c>
      <c r="E303" s="42">
        <v>45648.802083333336</v>
      </c>
      <c r="F303">
        <v>317</v>
      </c>
      <c r="G303">
        <v>740</v>
      </c>
      <c r="H303">
        <v>486.476</v>
      </c>
      <c r="I303" s="43">
        <f t="shared" si="16"/>
        <v>8.564814814814815E-3</v>
      </c>
      <c r="J303" s="44">
        <f t="shared" si="17"/>
        <v>0.48647600000000002</v>
      </c>
      <c r="K303" s="44">
        <f t="shared" si="18"/>
        <v>1.4392376439118246</v>
      </c>
      <c r="L303" s="96"/>
      <c r="M303" s="47"/>
      <c r="N303" s="55"/>
    </row>
    <row r="304" spans="1:14" x14ac:dyDescent="0.25">
      <c r="A304" s="41" t="s">
        <v>131</v>
      </c>
      <c r="B304" s="41" t="s">
        <v>224</v>
      </c>
      <c r="C304" s="41" t="s">
        <v>230</v>
      </c>
      <c r="D304" s="42">
        <v>45648.788194444445</v>
      </c>
      <c r="E304" s="42">
        <v>45648.793055555558</v>
      </c>
      <c r="F304">
        <v>10</v>
      </c>
      <c r="G304">
        <v>475</v>
      </c>
      <c r="H304">
        <v>19.5</v>
      </c>
      <c r="I304" s="48">
        <f t="shared" si="16"/>
        <v>5.4976851851851853E-3</v>
      </c>
      <c r="J304" s="49">
        <f t="shared" si="17"/>
        <v>1.95E-2</v>
      </c>
      <c r="K304" s="49">
        <f t="shared" si="18"/>
        <v>5.7690685781581375E-2</v>
      </c>
      <c r="L304" s="96"/>
      <c r="M304" s="47"/>
      <c r="N304" s="55"/>
    </row>
    <row r="305" spans="1:14" x14ac:dyDescent="0.25">
      <c r="A305" s="41" t="s">
        <v>132</v>
      </c>
      <c r="B305" s="41" t="s">
        <v>224</v>
      </c>
      <c r="C305" s="41" t="s">
        <v>225</v>
      </c>
      <c r="D305" s="42">
        <v>45648.693055555559</v>
      </c>
      <c r="E305" s="42">
        <v>45648.756249999999</v>
      </c>
      <c r="F305">
        <v>5036</v>
      </c>
      <c r="G305">
        <v>5480</v>
      </c>
      <c r="H305">
        <v>7045.3879999999999</v>
      </c>
      <c r="I305" s="48">
        <f t="shared" si="16"/>
        <v>6.3425925925925927E-2</v>
      </c>
      <c r="J305" s="49">
        <f t="shared" si="17"/>
        <v>7.045388</v>
      </c>
      <c r="K305" s="49">
        <f t="shared" si="18"/>
        <v>20.843757195760205</v>
      </c>
      <c r="L305" s="96" t="s">
        <v>261</v>
      </c>
      <c r="M305" s="47"/>
      <c r="N305" s="55"/>
    </row>
    <row r="306" spans="1:14" x14ac:dyDescent="0.25">
      <c r="A306" s="41" t="s">
        <v>133</v>
      </c>
      <c r="B306" s="41" t="s">
        <v>224</v>
      </c>
      <c r="C306" s="41" t="s">
        <v>225</v>
      </c>
      <c r="D306" s="42">
        <v>45647.872916666667</v>
      </c>
      <c r="E306" s="42">
        <v>45647.95</v>
      </c>
      <c r="F306">
        <v>6253</v>
      </c>
      <c r="G306">
        <v>6666</v>
      </c>
      <c r="H306">
        <v>15243.302</v>
      </c>
      <c r="I306" s="43">
        <f t="shared" si="16"/>
        <v>7.7152777777777778E-2</v>
      </c>
      <c r="J306" s="44">
        <f t="shared" si="17"/>
        <v>15.243302</v>
      </c>
      <c r="K306" s="44">
        <f t="shared" si="18"/>
        <v>45.097258766961581</v>
      </c>
      <c r="L306" s="96" t="s">
        <v>264</v>
      </c>
      <c r="M306" s="47"/>
      <c r="N306" s="55"/>
    </row>
    <row r="307" spans="1:14" x14ac:dyDescent="0.25">
      <c r="A307" s="41" t="s">
        <v>134</v>
      </c>
      <c r="B307" s="41" t="s">
        <v>224</v>
      </c>
      <c r="C307" s="41" t="s">
        <v>225</v>
      </c>
      <c r="D307" s="42">
        <v>45647.745138888888</v>
      </c>
      <c r="E307" s="42">
        <v>45647.754166666666</v>
      </c>
      <c r="F307">
        <v>352</v>
      </c>
      <c r="G307">
        <v>785</v>
      </c>
      <c r="H307">
        <v>483.37400000000002</v>
      </c>
      <c r="I307" s="48">
        <f t="shared" si="16"/>
        <v>9.0856481481481483E-3</v>
      </c>
      <c r="J307" s="49">
        <f t="shared" si="17"/>
        <v>0.48337400000000003</v>
      </c>
      <c r="K307" s="49">
        <f t="shared" si="18"/>
        <v>1.4300603871274933</v>
      </c>
      <c r="L307" s="96"/>
      <c r="M307" s="47"/>
      <c r="N307" s="55"/>
    </row>
    <row r="308" spans="1:14" x14ac:dyDescent="0.25">
      <c r="A308" s="41" t="s">
        <v>135</v>
      </c>
      <c r="B308" s="41" t="s">
        <v>224</v>
      </c>
      <c r="C308" s="41" t="s">
        <v>225</v>
      </c>
      <c r="D308" s="42">
        <v>45647.702777777777</v>
      </c>
      <c r="E308" s="42">
        <v>45647.740277777775</v>
      </c>
      <c r="F308">
        <v>2802</v>
      </c>
      <c r="G308">
        <v>3228</v>
      </c>
      <c r="H308">
        <v>4342.3310000000001</v>
      </c>
      <c r="I308" s="48">
        <f t="shared" si="16"/>
        <v>3.7361111111111109E-2</v>
      </c>
      <c r="J308" s="49">
        <f t="shared" si="17"/>
        <v>4.3423309999999997</v>
      </c>
      <c r="K308" s="49">
        <f t="shared" si="18"/>
        <v>12.84677196310872</v>
      </c>
      <c r="L308" s="96"/>
      <c r="M308" s="47"/>
      <c r="N308" s="55"/>
    </row>
    <row r="309" spans="1:14" x14ac:dyDescent="0.25">
      <c r="A309" s="41" t="s">
        <v>136</v>
      </c>
      <c r="B309" s="41" t="s">
        <v>224</v>
      </c>
      <c r="C309" s="41" t="s">
        <v>225</v>
      </c>
      <c r="D309" s="42">
        <v>45647.625</v>
      </c>
      <c r="E309" s="42">
        <v>45647.63958333333</v>
      </c>
      <c r="F309">
        <v>979</v>
      </c>
      <c r="G309">
        <v>1267</v>
      </c>
      <c r="H309">
        <v>1064.1400000000001</v>
      </c>
      <c r="I309" s="43">
        <f t="shared" si="16"/>
        <v>1.4664351851851852E-2</v>
      </c>
      <c r="J309" s="44">
        <f t="shared" si="17"/>
        <v>1.0641400000000001</v>
      </c>
      <c r="K309" s="44">
        <f t="shared" si="18"/>
        <v>3.1482546855185647</v>
      </c>
      <c r="L309" s="96" t="s">
        <v>263</v>
      </c>
      <c r="M309" s="47"/>
      <c r="N309" s="55"/>
    </row>
    <row r="310" spans="1:14" x14ac:dyDescent="0.25">
      <c r="A310" s="41" t="s">
        <v>137</v>
      </c>
      <c r="B310" s="41" t="s">
        <v>224</v>
      </c>
      <c r="C310" s="41" t="s">
        <v>225</v>
      </c>
      <c r="D310" s="42">
        <v>45647.573611111111</v>
      </c>
      <c r="E310" s="42">
        <v>45647.6</v>
      </c>
      <c r="F310">
        <v>1884</v>
      </c>
      <c r="G310">
        <v>2284</v>
      </c>
      <c r="H310">
        <v>1882.6590000000001</v>
      </c>
      <c r="I310" s="48">
        <f t="shared" si="16"/>
        <v>2.6435185185185187E-2</v>
      </c>
      <c r="J310" s="49">
        <f t="shared" si="17"/>
        <v>1.8826590000000001</v>
      </c>
      <c r="K310" s="49">
        <f t="shared" si="18"/>
        <v>5.5698404514290365</v>
      </c>
      <c r="L310" s="96" t="s">
        <v>262</v>
      </c>
      <c r="M310" s="47"/>
      <c r="N310" s="55"/>
    </row>
    <row r="311" spans="1:14" x14ac:dyDescent="0.25">
      <c r="A311" s="41" t="s">
        <v>138</v>
      </c>
      <c r="B311" s="41" t="s">
        <v>224</v>
      </c>
      <c r="C311" s="41" t="s">
        <v>225</v>
      </c>
      <c r="D311" s="42">
        <v>45646.811111111114</v>
      </c>
      <c r="E311" s="42">
        <v>45646.98541666667</v>
      </c>
      <c r="F311">
        <v>14572</v>
      </c>
      <c r="G311">
        <v>15043</v>
      </c>
      <c r="H311">
        <v>13309.431</v>
      </c>
      <c r="I311" s="48">
        <f t="shared" si="16"/>
        <v>0.1741087962962963</v>
      </c>
      <c r="J311" s="49">
        <f t="shared" si="17"/>
        <v>13.309431</v>
      </c>
      <c r="K311" s="49">
        <f t="shared" si="18"/>
        <v>39.375907782186587</v>
      </c>
      <c r="L311" s="96"/>
      <c r="M311" s="47"/>
      <c r="N311" s="55"/>
    </row>
    <row r="312" spans="1:14" x14ac:dyDescent="0.25">
      <c r="A312" s="41" t="s">
        <v>139</v>
      </c>
      <c r="B312" s="41" t="s">
        <v>224</v>
      </c>
      <c r="C312" s="41" t="s">
        <v>225</v>
      </c>
      <c r="D312" s="42">
        <v>45645.943749999999</v>
      </c>
      <c r="E312" s="42">
        <v>45645.955555555556</v>
      </c>
      <c r="F312">
        <v>623</v>
      </c>
      <c r="G312">
        <v>1047</v>
      </c>
      <c r="H312">
        <v>666.697</v>
      </c>
      <c r="I312" s="43">
        <f t="shared" si="16"/>
        <v>1.2118055555555556E-2</v>
      </c>
      <c r="J312" s="44">
        <f t="shared" si="17"/>
        <v>0.66669699999999998</v>
      </c>
      <c r="K312" s="44">
        <f t="shared" si="18"/>
        <v>1.9724208788986133</v>
      </c>
      <c r="L312" s="96"/>
      <c r="M312" s="47"/>
      <c r="N312" s="55"/>
    </row>
    <row r="313" spans="1:14" x14ac:dyDescent="0.25">
      <c r="A313" s="41" t="s">
        <v>140</v>
      </c>
      <c r="B313" s="41" t="s">
        <v>224</v>
      </c>
      <c r="C313" s="41" t="s">
        <v>225</v>
      </c>
      <c r="D313" s="42">
        <v>45645.927083333336</v>
      </c>
      <c r="E313" s="42">
        <v>45645.940972222219</v>
      </c>
      <c r="F313">
        <v>905</v>
      </c>
      <c r="G313">
        <v>1220</v>
      </c>
      <c r="H313">
        <v>3207.5949999999998</v>
      </c>
      <c r="I313" s="48">
        <f t="shared" si="16"/>
        <v>1.412037037037037E-2</v>
      </c>
      <c r="J313" s="49">
        <f t="shared" si="17"/>
        <v>3.207595</v>
      </c>
      <c r="K313" s="49">
        <f t="shared" si="18"/>
        <v>9.4896592440805883</v>
      </c>
      <c r="L313" s="96"/>
      <c r="M313" s="47"/>
      <c r="N313" s="55"/>
    </row>
    <row r="314" spans="1:14" x14ac:dyDescent="0.25">
      <c r="A314" s="41" t="s">
        <v>141</v>
      </c>
      <c r="B314" s="41" t="s">
        <v>224</v>
      </c>
      <c r="C314" s="41" t="s">
        <v>225</v>
      </c>
      <c r="D314" s="42">
        <v>45645.847916666666</v>
      </c>
      <c r="E314" s="42">
        <v>45645.918055555558</v>
      </c>
      <c r="F314">
        <v>5690</v>
      </c>
      <c r="G314">
        <v>6050</v>
      </c>
      <c r="H314">
        <v>10822.303</v>
      </c>
      <c r="I314" s="48">
        <f t="shared" si="16"/>
        <v>7.0023148148148154E-2</v>
      </c>
      <c r="J314" s="49">
        <f t="shared" si="17"/>
        <v>10.822303</v>
      </c>
      <c r="K314" s="49">
        <f t="shared" si="18"/>
        <v>32.017747784926435</v>
      </c>
      <c r="L314" s="96"/>
      <c r="M314" s="47"/>
      <c r="N314" s="55"/>
    </row>
    <row r="315" spans="1:14" x14ac:dyDescent="0.25">
      <c r="A315" s="41" t="s">
        <v>142</v>
      </c>
      <c r="B315" s="41" t="s">
        <v>224</v>
      </c>
      <c r="C315" s="41" t="s">
        <v>225</v>
      </c>
      <c r="D315" s="42">
        <v>45644.918749999997</v>
      </c>
      <c r="E315" s="42">
        <v>45644.946527777778</v>
      </c>
      <c r="F315">
        <v>2036</v>
      </c>
      <c r="G315">
        <v>2390</v>
      </c>
      <c r="H315">
        <v>2396.337</v>
      </c>
      <c r="I315" s="43">
        <f t="shared" si="16"/>
        <v>2.7662037037037037E-2</v>
      </c>
      <c r="J315" s="44">
        <f t="shared" si="17"/>
        <v>2.3963369999999999</v>
      </c>
      <c r="K315" s="44">
        <f t="shared" si="18"/>
        <v>7.0895551227578135</v>
      </c>
      <c r="L315" s="96"/>
      <c r="M315" s="47"/>
      <c r="N315" s="55"/>
    </row>
    <row r="316" spans="1:14" x14ac:dyDescent="0.25">
      <c r="A316" s="41" t="s">
        <v>143</v>
      </c>
      <c r="B316" s="41" t="s">
        <v>224</v>
      </c>
      <c r="C316" s="41" t="s">
        <v>225</v>
      </c>
      <c r="D316" s="42">
        <v>45642.929861111108</v>
      </c>
      <c r="E316" s="42">
        <v>45642.979861111111</v>
      </c>
      <c r="F316">
        <v>3983</v>
      </c>
      <c r="G316">
        <v>4298</v>
      </c>
      <c r="H316">
        <v>6977.4759999999997</v>
      </c>
      <c r="I316" s="48">
        <f t="shared" si="16"/>
        <v>4.974537037037037E-2</v>
      </c>
      <c r="J316" s="49">
        <f t="shared" si="17"/>
        <v>6.9774759999999993</v>
      </c>
      <c r="K316" s="49">
        <f t="shared" si="18"/>
        <v>20.642839767411552</v>
      </c>
      <c r="L316" s="96" t="s">
        <v>261</v>
      </c>
      <c r="M316" s="47"/>
      <c r="N316" s="55"/>
    </row>
    <row r="317" spans="1:14" x14ac:dyDescent="0.25">
      <c r="A317" s="41" t="s">
        <v>144</v>
      </c>
      <c r="B317" s="41" t="s">
        <v>224</v>
      </c>
      <c r="C317" s="41" t="s">
        <v>228</v>
      </c>
      <c r="D317" s="42">
        <v>45642.922222222223</v>
      </c>
      <c r="E317" s="42">
        <v>45642.929166666669</v>
      </c>
      <c r="F317">
        <v>189</v>
      </c>
      <c r="G317">
        <v>589</v>
      </c>
      <c r="H317">
        <v>330.04899999999998</v>
      </c>
      <c r="I317" s="48">
        <f t="shared" si="16"/>
        <v>6.8171296296296296E-3</v>
      </c>
      <c r="J317" s="49">
        <f t="shared" si="17"/>
        <v>0.33004899999999998</v>
      </c>
      <c r="K317" s="49">
        <f t="shared" si="18"/>
        <v>0.97644887956539228</v>
      </c>
      <c r="L317" s="96"/>
      <c r="M317" s="47"/>
      <c r="N317" s="55"/>
    </row>
    <row r="318" spans="1:14" x14ac:dyDescent="0.25">
      <c r="A318" s="41" t="s">
        <v>145</v>
      </c>
      <c r="B318" s="41" t="s">
        <v>224</v>
      </c>
      <c r="C318" s="41" t="s">
        <v>225</v>
      </c>
      <c r="D318" s="42">
        <v>45642.806944444441</v>
      </c>
      <c r="E318" s="42">
        <v>45642.919444444444</v>
      </c>
      <c r="F318">
        <v>9244</v>
      </c>
      <c r="G318">
        <v>9700</v>
      </c>
      <c r="H318">
        <v>19214.316999999999</v>
      </c>
      <c r="I318" s="43">
        <f t="shared" si="16"/>
        <v>0.11226851851851852</v>
      </c>
      <c r="J318" s="44">
        <f t="shared" si="17"/>
        <v>19.214316999999998</v>
      </c>
      <c r="K318" s="44">
        <f t="shared" si="18"/>
        <v>56.84549356690755</v>
      </c>
      <c r="L318" s="96" t="s">
        <v>261</v>
      </c>
      <c r="M318" s="47"/>
      <c r="N318" s="55"/>
    </row>
    <row r="319" spans="1:14" x14ac:dyDescent="0.25">
      <c r="A319" s="41" t="s">
        <v>146</v>
      </c>
      <c r="B319" s="41" t="s">
        <v>224</v>
      </c>
      <c r="C319" s="41" t="s">
        <v>225</v>
      </c>
      <c r="D319" s="42">
        <v>45641.871527777781</v>
      </c>
      <c r="E319" s="42">
        <v>45641.933333333334</v>
      </c>
      <c r="F319">
        <v>4906</v>
      </c>
      <c r="G319">
        <v>5307</v>
      </c>
      <c r="H319">
        <v>7592.2860000000001</v>
      </c>
      <c r="I319" s="48">
        <f t="shared" si="16"/>
        <v>6.1423611111111109E-2</v>
      </c>
      <c r="J319" s="49">
        <f t="shared" si="17"/>
        <v>7.5922859999999996</v>
      </c>
      <c r="K319" s="49">
        <f t="shared" si="18"/>
        <v>22.461753127687146</v>
      </c>
      <c r="L319" s="96" t="s">
        <v>261</v>
      </c>
      <c r="M319" s="47"/>
      <c r="N319" s="55"/>
    </row>
    <row r="320" spans="1:14" x14ac:dyDescent="0.25">
      <c r="A320" s="41" t="s">
        <v>144</v>
      </c>
      <c r="B320" s="41" t="s">
        <v>224</v>
      </c>
      <c r="C320" s="41" t="s">
        <v>228</v>
      </c>
      <c r="D320" s="42">
        <v>45641.834027777775</v>
      </c>
      <c r="E320" s="42">
        <v>45641.859027777777</v>
      </c>
      <c r="F320">
        <v>1752</v>
      </c>
      <c r="G320">
        <v>2158</v>
      </c>
      <c r="H320">
        <v>7925.2179999999998</v>
      </c>
      <c r="I320" s="48">
        <f t="shared" si="16"/>
        <v>2.4976851851851851E-2</v>
      </c>
      <c r="J320" s="49">
        <f t="shared" si="17"/>
        <v>7.9252180000000001</v>
      </c>
      <c r="K320" s="49">
        <f t="shared" si="18"/>
        <v>23.446731353258091</v>
      </c>
      <c r="L320" s="96"/>
      <c r="M320" s="47"/>
      <c r="N320" s="55"/>
    </row>
    <row r="321" spans="1:14" x14ac:dyDescent="0.25">
      <c r="A321" s="41" t="s">
        <v>147</v>
      </c>
      <c r="B321" s="41" t="s">
        <v>224</v>
      </c>
      <c r="C321" s="41" t="s">
        <v>225</v>
      </c>
      <c r="D321" s="42">
        <v>45641.814583333333</v>
      </c>
      <c r="E321" s="42">
        <v>45641.825694444444</v>
      </c>
      <c r="F321">
        <v>692</v>
      </c>
      <c r="G321">
        <v>999</v>
      </c>
      <c r="H321">
        <v>903.14</v>
      </c>
      <c r="I321" s="43">
        <f t="shared" si="16"/>
        <v>1.15625E-2</v>
      </c>
      <c r="J321" s="44">
        <f t="shared" si="17"/>
        <v>0.90313999999999994</v>
      </c>
      <c r="K321" s="44">
        <f t="shared" si="18"/>
        <v>2.6719367157321745</v>
      </c>
      <c r="L321" s="96"/>
      <c r="M321" s="47"/>
      <c r="N321" s="55"/>
    </row>
    <row r="322" spans="1:14" x14ac:dyDescent="0.25">
      <c r="A322" s="41" t="s">
        <v>148</v>
      </c>
      <c r="B322" s="41" t="s">
        <v>224</v>
      </c>
      <c r="C322" s="41" t="s">
        <v>225</v>
      </c>
      <c r="D322" s="42">
        <v>45641.775000000001</v>
      </c>
      <c r="E322" s="42">
        <v>45641.801388888889</v>
      </c>
      <c r="F322">
        <v>1964</v>
      </c>
      <c r="G322">
        <v>2313</v>
      </c>
      <c r="H322">
        <v>5294.86</v>
      </c>
      <c r="I322" s="48">
        <f t="shared" si="16"/>
        <v>2.6770833333333334E-2</v>
      </c>
      <c r="J322" s="49">
        <f t="shared" si="17"/>
        <v>5.2948599999999999</v>
      </c>
      <c r="K322" s="49">
        <f t="shared" si="18"/>
        <v>15.664825872690459</v>
      </c>
      <c r="L322" s="96"/>
      <c r="M322" s="47"/>
      <c r="N322" s="55"/>
    </row>
    <row r="323" spans="1:14" x14ac:dyDescent="0.25">
      <c r="A323" s="41" t="s">
        <v>149</v>
      </c>
      <c r="B323" s="41" t="s">
        <v>224</v>
      </c>
      <c r="C323" s="41" t="s">
        <v>225</v>
      </c>
      <c r="D323" s="42">
        <v>45641.744444444441</v>
      </c>
      <c r="E323" s="42">
        <v>45641.769444444442</v>
      </c>
      <c r="F323">
        <v>1821</v>
      </c>
      <c r="G323">
        <v>2170</v>
      </c>
      <c r="H323">
        <v>6225.5569999999998</v>
      </c>
      <c r="I323" s="48">
        <f t="shared" si="16"/>
        <v>2.5115740740740741E-2</v>
      </c>
      <c r="J323" s="49">
        <f t="shared" si="17"/>
        <v>6.2255570000000002</v>
      </c>
      <c r="K323" s="49">
        <f t="shared" si="18"/>
        <v>18.41828988217048</v>
      </c>
      <c r="L323" s="96"/>
      <c r="M323" s="47"/>
      <c r="N323" s="55"/>
    </row>
    <row r="324" spans="1:14" x14ac:dyDescent="0.25">
      <c r="A324" s="41" t="s">
        <v>150</v>
      </c>
      <c r="B324" s="41" t="s">
        <v>224</v>
      </c>
      <c r="C324" s="41" t="s">
        <v>228</v>
      </c>
      <c r="D324" s="42">
        <v>45641.734027777777</v>
      </c>
      <c r="E324" s="42">
        <v>45641.742361111108</v>
      </c>
      <c r="F324">
        <v>290</v>
      </c>
      <c r="G324">
        <v>687</v>
      </c>
      <c r="H324">
        <v>363.81599999999997</v>
      </c>
      <c r="I324" s="43">
        <f t="shared" si="16"/>
        <v>7.951388888888888E-3</v>
      </c>
      <c r="J324" s="44">
        <f t="shared" si="17"/>
        <v>0.36381599999999997</v>
      </c>
      <c r="K324" s="44">
        <f t="shared" si="18"/>
        <v>1.076348437862144</v>
      </c>
      <c r="L324" s="96"/>
      <c r="M324" s="56"/>
      <c r="N324" s="57"/>
    </row>
    <row r="325" spans="1:14" x14ac:dyDescent="0.25">
      <c r="A325" s="41" t="s">
        <v>151</v>
      </c>
      <c r="B325" s="41" t="s">
        <v>224</v>
      </c>
      <c r="C325" s="41" t="s">
        <v>225</v>
      </c>
      <c r="D325" s="42">
        <v>45641.613194444442</v>
      </c>
      <c r="E325" s="42">
        <v>45641.621527777781</v>
      </c>
      <c r="F325">
        <v>302</v>
      </c>
      <c r="G325">
        <v>729</v>
      </c>
      <c r="H325">
        <v>453.01400000000001</v>
      </c>
      <c r="I325" s="48">
        <f t="shared" si="16"/>
        <v>8.4375000000000006E-3</v>
      </c>
      <c r="J325" s="49">
        <f t="shared" si="17"/>
        <v>0.45301400000000003</v>
      </c>
      <c r="K325" s="49">
        <f t="shared" si="18"/>
        <v>1.3402404271106312</v>
      </c>
      <c r="L325" s="96"/>
    </row>
    <row r="326" spans="1:14" x14ac:dyDescent="0.25">
      <c r="A326" s="41" t="s">
        <v>152</v>
      </c>
      <c r="B326" s="41" t="s">
        <v>224</v>
      </c>
      <c r="C326" s="41" t="s">
        <v>225</v>
      </c>
      <c r="D326" s="42">
        <v>45641.568749999999</v>
      </c>
      <c r="E326" s="42">
        <v>45641.609027777777</v>
      </c>
      <c r="F326">
        <v>3177</v>
      </c>
      <c r="G326">
        <v>3493</v>
      </c>
      <c r="H326">
        <v>3853.6480000000001</v>
      </c>
      <c r="I326" s="48">
        <f t="shared" si="16"/>
        <v>4.0428240740740744E-2</v>
      </c>
      <c r="J326" s="49">
        <f t="shared" si="17"/>
        <v>3.8536480000000002</v>
      </c>
      <c r="K326" s="49">
        <f t="shared" si="18"/>
        <v>11.401004916965103</v>
      </c>
      <c r="L326" s="96"/>
    </row>
    <row r="327" spans="1:14" x14ac:dyDescent="0.25">
      <c r="A327" s="41" t="s">
        <v>153</v>
      </c>
      <c r="B327" s="41" t="s">
        <v>224</v>
      </c>
      <c r="C327" s="41" t="s">
        <v>225</v>
      </c>
      <c r="D327" s="42">
        <v>45641.490972222222</v>
      </c>
      <c r="E327" s="42">
        <v>45641.543749999997</v>
      </c>
      <c r="F327">
        <v>4206</v>
      </c>
      <c r="G327">
        <v>4562</v>
      </c>
      <c r="H327">
        <v>4965.223</v>
      </c>
      <c r="I327" s="43">
        <f t="shared" si="16"/>
        <v>5.2800925925925925E-2</v>
      </c>
      <c r="J327" s="44">
        <f t="shared" si="17"/>
        <v>4.9652229999999999</v>
      </c>
      <c r="K327" s="44">
        <f t="shared" si="18"/>
        <v>14.689595893768246</v>
      </c>
      <c r="L327" s="96"/>
    </row>
    <row r="328" spans="1:14" x14ac:dyDescent="0.25">
      <c r="A328" s="41" t="s">
        <v>154</v>
      </c>
      <c r="B328" s="41" t="s">
        <v>224</v>
      </c>
      <c r="C328" s="41" t="s">
        <v>225</v>
      </c>
      <c r="D328" s="42">
        <v>45640.847916666666</v>
      </c>
      <c r="E328" s="42">
        <v>45640.899305555555</v>
      </c>
      <c r="F328">
        <v>4168</v>
      </c>
      <c r="G328">
        <v>4477</v>
      </c>
      <c r="H328">
        <v>5190.8770000000004</v>
      </c>
      <c r="I328" s="48">
        <f t="shared" si="16"/>
        <v>5.181712962962963E-2</v>
      </c>
      <c r="J328" s="49">
        <f t="shared" si="17"/>
        <v>5.1908770000000004</v>
      </c>
      <c r="K328" s="49">
        <f t="shared" si="18"/>
        <v>15.357192509632709</v>
      </c>
      <c r="L328" s="96" t="s">
        <v>261</v>
      </c>
    </row>
    <row r="329" spans="1:14" x14ac:dyDescent="0.25">
      <c r="A329" s="41" t="s">
        <v>155</v>
      </c>
      <c r="B329" s="41" t="s">
        <v>224</v>
      </c>
      <c r="C329" s="41" t="s">
        <v>225</v>
      </c>
      <c r="D329" s="42">
        <v>45640.796527777777</v>
      </c>
      <c r="E329" s="42">
        <v>45640.845833333333</v>
      </c>
      <c r="F329">
        <v>3942</v>
      </c>
      <c r="G329">
        <v>4265</v>
      </c>
      <c r="H329">
        <v>6672.5259999999998</v>
      </c>
      <c r="I329" s="48">
        <f t="shared" si="16"/>
        <v>4.9363425925925929E-2</v>
      </c>
      <c r="J329" s="49">
        <f t="shared" si="17"/>
        <v>6.6725259999999995</v>
      </c>
      <c r="K329" s="49">
        <f t="shared" si="18"/>
        <v>19.740646196688825</v>
      </c>
      <c r="L329" s="96" t="s">
        <v>261</v>
      </c>
    </row>
    <row r="330" spans="1:14" x14ac:dyDescent="0.25">
      <c r="A330" s="41" t="s">
        <v>156</v>
      </c>
      <c r="B330" s="41" t="s">
        <v>224</v>
      </c>
      <c r="C330" s="41" t="s">
        <v>225</v>
      </c>
      <c r="D330" s="42">
        <v>45640.743055555555</v>
      </c>
      <c r="E330" s="42">
        <v>45640.795138888891</v>
      </c>
      <c r="F330">
        <v>4209</v>
      </c>
      <c r="G330">
        <v>4519</v>
      </c>
      <c r="H330">
        <v>7626.2049999999999</v>
      </c>
      <c r="I330" s="43">
        <f t="shared" si="16"/>
        <v>5.230324074074074E-2</v>
      </c>
      <c r="J330" s="44">
        <f t="shared" si="17"/>
        <v>7.6262049999999997</v>
      </c>
      <c r="K330" s="44">
        <f t="shared" si="18"/>
        <v>22.562102377483324</v>
      </c>
      <c r="L330" s="96" t="s">
        <v>261</v>
      </c>
    </row>
    <row r="331" spans="1:14" x14ac:dyDescent="0.25">
      <c r="A331" s="41" t="s">
        <v>157</v>
      </c>
      <c r="B331" s="41" t="s">
        <v>224</v>
      </c>
      <c r="C331" s="41" t="s">
        <v>225</v>
      </c>
      <c r="D331" s="42">
        <v>45640.685416666667</v>
      </c>
      <c r="E331" s="42">
        <v>45640.740277777775</v>
      </c>
      <c r="F331">
        <v>4381</v>
      </c>
      <c r="G331">
        <v>4692</v>
      </c>
      <c r="H331">
        <v>7464.4189999999999</v>
      </c>
      <c r="I331" s="48">
        <f t="shared" si="16"/>
        <v>5.4305555555555558E-2</v>
      </c>
      <c r="J331" s="49">
        <f t="shared" si="17"/>
        <v>7.4644189999999995</v>
      </c>
      <c r="K331" s="49">
        <f t="shared" si="18"/>
        <v>22.083459029285429</v>
      </c>
      <c r="L331" s="96" t="s">
        <v>261</v>
      </c>
    </row>
    <row r="332" spans="1:14" x14ac:dyDescent="0.25">
      <c r="A332" s="41" t="s">
        <v>158</v>
      </c>
      <c r="B332" s="41" t="s">
        <v>224</v>
      </c>
      <c r="C332" s="41" t="s">
        <v>225</v>
      </c>
      <c r="D332" s="42">
        <v>45640.631249999999</v>
      </c>
      <c r="E332" s="42">
        <v>45640.682638888888</v>
      </c>
      <c r="F332">
        <v>4134</v>
      </c>
      <c r="G332">
        <v>4444</v>
      </c>
      <c r="H332">
        <v>6962.2389999999996</v>
      </c>
      <c r="I332" s="48">
        <f t="shared" si="16"/>
        <v>5.1435185185185188E-2</v>
      </c>
      <c r="J332" s="49">
        <f t="shared" si="17"/>
        <v>6.9622389999999994</v>
      </c>
      <c r="K332" s="49">
        <f t="shared" si="18"/>
        <v>20.597761153090836</v>
      </c>
      <c r="L332" s="96" t="s">
        <v>261</v>
      </c>
    </row>
    <row r="333" spans="1:14" x14ac:dyDescent="0.25">
      <c r="A333" s="41" t="s">
        <v>159</v>
      </c>
      <c r="B333" s="41" t="s">
        <v>224</v>
      </c>
      <c r="C333" s="41" t="s">
        <v>225</v>
      </c>
      <c r="D333" s="42">
        <v>45640.551388888889</v>
      </c>
      <c r="E333" s="42">
        <v>45640.628472222219</v>
      </c>
      <c r="F333">
        <v>6242</v>
      </c>
      <c r="G333">
        <v>6664</v>
      </c>
      <c r="H333">
        <v>7183.2330000000002</v>
      </c>
      <c r="I333" s="43">
        <f t="shared" si="16"/>
        <v>7.7129629629629631E-2</v>
      </c>
      <c r="J333" s="44">
        <f t="shared" si="17"/>
        <v>7.1832330000000004</v>
      </c>
      <c r="K333" s="44">
        <f t="shared" si="18"/>
        <v>21.251571174301851</v>
      </c>
      <c r="L333" s="96" t="s">
        <v>261</v>
      </c>
    </row>
    <row r="334" spans="1:14" x14ac:dyDescent="0.25">
      <c r="A334" s="41" t="s">
        <v>160</v>
      </c>
      <c r="B334" s="41" t="s">
        <v>224</v>
      </c>
      <c r="C334" s="41" t="s">
        <v>225</v>
      </c>
      <c r="D334" s="42">
        <v>45640.46875</v>
      </c>
      <c r="E334" s="42">
        <v>45640.54791666667</v>
      </c>
      <c r="F334">
        <v>6404</v>
      </c>
      <c r="G334">
        <v>6831</v>
      </c>
      <c r="H334">
        <v>7255.0330000000004</v>
      </c>
      <c r="I334" s="48">
        <f t="shared" si="16"/>
        <v>7.9062499999999994E-2</v>
      </c>
      <c r="J334" s="49">
        <f t="shared" si="17"/>
        <v>7.2550330000000001</v>
      </c>
      <c r="K334" s="49">
        <f t="shared" si="18"/>
        <v>21.46399123784634</v>
      </c>
      <c r="L334" s="96" t="s">
        <v>261</v>
      </c>
    </row>
    <row r="335" spans="1:14" x14ac:dyDescent="0.25">
      <c r="A335" s="41" t="s">
        <v>151</v>
      </c>
      <c r="B335" s="41" t="s">
        <v>224</v>
      </c>
      <c r="C335" s="41" t="s">
        <v>225</v>
      </c>
      <c r="D335" s="42">
        <v>45640.456250000003</v>
      </c>
      <c r="E335" s="42">
        <v>45640.464583333334</v>
      </c>
      <c r="F335">
        <v>300</v>
      </c>
      <c r="G335">
        <v>720</v>
      </c>
      <c r="H335">
        <v>371.33699999999999</v>
      </c>
      <c r="I335" s="48">
        <f t="shared" si="16"/>
        <v>8.3333333333333332E-3</v>
      </c>
      <c r="J335" s="49">
        <f t="shared" si="17"/>
        <v>0.37133699999999997</v>
      </c>
      <c r="K335" s="49">
        <f t="shared" si="18"/>
        <v>1.098599291593594</v>
      </c>
      <c r="L335" s="96"/>
    </row>
    <row r="336" spans="1:14" x14ac:dyDescent="0.25">
      <c r="A336" s="41" t="s">
        <v>161</v>
      </c>
      <c r="B336" s="41" t="s">
        <v>224</v>
      </c>
      <c r="C336" s="41" t="s">
        <v>225</v>
      </c>
      <c r="D336" s="42">
        <v>45640.426388888889</v>
      </c>
      <c r="E336" s="42">
        <v>45640.453472222223</v>
      </c>
      <c r="F336">
        <v>1930</v>
      </c>
      <c r="G336">
        <v>2338</v>
      </c>
      <c r="H336">
        <v>1624.902</v>
      </c>
      <c r="I336" s="43">
        <f t="shared" si="16"/>
        <v>2.7060185185185184E-2</v>
      </c>
      <c r="J336" s="44">
        <f t="shared" si="17"/>
        <v>1.6249020000000001</v>
      </c>
      <c r="K336" s="44">
        <f t="shared" si="18"/>
        <v>4.8072672157878529</v>
      </c>
      <c r="L336" s="96"/>
    </row>
    <row r="337" spans="1:12" x14ac:dyDescent="0.25">
      <c r="A337" s="41" t="s">
        <v>162</v>
      </c>
      <c r="B337" s="41" t="s">
        <v>224</v>
      </c>
      <c r="C337" s="41" t="s">
        <v>225</v>
      </c>
      <c r="D337" s="42">
        <v>45639.959027777775</v>
      </c>
      <c r="E337" s="42">
        <v>45639.98333333333</v>
      </c>
      <c r="F337">
        <v>1744</v>
      </c>
      <c r="G337">
        <v>2104</v>
      </c>
      <c r="H337">
        <v>3188.9830000000002</v>
      </c>
      <c r="I337" s="48">
        <f t="shared" si="16"/>
        <v>2.435185185185185E-2</v>
      </c>
      <c r="J337" s="49">
        <f t="shared" si="17"/>
        <v>3.1889830000000003</v>
      </c>
      <c r="K337" s="49">
        <f t="shared" si="18"/>
        <v>9.4345957033746011</v>
      </c>
      <c r="L337" s="96" t="s">
        <v>253</v>
      </c>
    </row>
    <row r="338" spans="1:12" x14ac:dyDescent="0.25">
      <c r="A338" s="41" t="s">
        <v>163</v>
      </c>
      <c r="B338" s="41" t="s">
        <v>224</v>
      </c>
      <c r="C338" s="41" t="s">
        <v>225</v>
      </c>
      <c r="D338" s="42">
        <v>45639.871527777781</v>
      </c>
      <c r="E338" s="42">
        <v>45639.879861111112</v>
      </c>
      <c r="F338">
        <v>408</v>
      </c>
      <c r="G338">
        <v>738</v>
      </c>
      <c r="H338">
        <v>586.54</v>
      </c>
      <c r="I338" s="48">
        <f t="shared" si="16"/>
        <v>8.5416666666666662E-3</v>
      </c>
      <c r="J338" s="49">
        <f t="shared" si="17"/>
        <v>0.58653999999999995</v>
      </c>
      <c r="K338" s="49">
        <f t="shared" si="18"/>
        <v>1.7352766583758328</v>
      </c>
      <c r="L338" s="96"/>
    </row>
    <row r="339" spans="1:12" x14ac:dyDescent="0.25">
      <c r="A339" s="41" t="s">
        <v>164</v>
      </c>
      <c r="B339" s="41" t="s">
        <v>224</v>
      </c>
      <c r="C339" s="41" t="s">
        <v>225</v>
      </c>
      <c r="D339" s="42">
        <v>45639.839583333334</v>
      </c>
      <c r="E339" s="42">
        <v>45639.854861111111</v>
      </c>
      <c r="F339">
        <v>975</v>
      </c>
      <c r="G339">
        <v>1335</v>
      </c>
      <c r="H339">
        <v>1076.9469999999999</v>
      </c>
      <c r="I339" s="43">
        <f t="shared" si="16"/>
        <v>1.545138888888889E-2</v>
      </c>
      <c r="J339" s="44">
        <f t="shared" si="17"/>
        <v>1.0769469999999999</v>
      </c>
      <c r="K339" s="44">
        <f t="shared" si="18"/>
        <v>3.1861441528418828</v>
      </c>
      <c r="L339" s="96"/>
    </row>
    <row r="340" spans="1:12" x14ac:dyDescent="0.25">
      <c r="A340" s="41" t="s">
        <v>165</v>
      </c>
      <c r="B340" s="41" t="s">
        <v>224</v>
      </c>
      <c r="C340" s="41" t="s">
        <v>225</v>
      </c>
      <c r="D340" s="42">
        <v>45636.888194444444</v>
      </c>
      <c r="E340" s="42">
        <v>45636.910416666666</v>
      </c>
      <c r="F340">
        <v>1600</v>
      </c>
      <c r="G340">
        <v>1931</v>
      </c>
      <c r="H340">
        <v>3343.692</v>
      </c>
      <c r="I340" s="48">
        <f t="shared" si="16"/>
        <v>2.2349537037037036E-2</v>
      </c>
      <c r="J340" s="49">
        <f t="shared" si="17"/>
        <v>3.3436919999999999</v>
      </c>
      <c r="K340" s="49">
        <f t="shared" si="18"/>
        <v>9.8923017703788414</v>
      </c>
      <c r="L340" s="96"/>
    </row>
    <row r="341" spans="1:12" x14ac:dyDescent="0.25">
      <c r="A341" s="41" t="s">
        <v>166</v>
      </c>
      <c r="B341" s="41" t="s">
        <v>224</v>
      </c>
      <c r="C341" s="41" t="s">
        <v>225</v>
      </c>
      <c r="D341" s="42">
        <v>45634.953472222223</v>
      </c>
      <c r="E341" s="42">
        <v>45634.96597222222</v>
      </c>
      <c r="F341">
        <v>738</v>
      </c>
      <c r="G341">
        <v>1049</v>
      </c>
      <c r="H341">
        <v>1538.23</v>
      </c>
      <c r="I341" s="48">
        <f t="shared" si="16"/>
        <v>1.2141203703703704E-2</v>
      </c>
      <c r="J341" s="49">
        <f t="shared" si="17"/>
        <v>1.53823</v>
      </c>
      <c r="K341" s="49">
        <f t="shared" si="18"/>
        <v>4.5508483892206115</v>
      </c>
      <c r="L341" s="96"/>
    </row>
    <row r="342" spans="1:12" x14ac:dyDescent="0.25">
      <c r="A342" s="41" t="s">
        <v>167</v>
      </c>
      <c r="B342" s="41" t="s">
        <v>224</v>
      </c>
      <c r="C342" s="41" t="s">
        <v>225</v>
      </c>
      <c r="D342" s="42">
        <v>45634.910416666666</v>
      </c>
      <c r="E342" s="42">
        <v>45634.92291666667</v>
      </c>
      <c r="F342">
        <v>766</v>
      </c>
      <c r="G342">
        <v>1091</v>
      </c>
      <c r="H342">
        <v>1697.325</v>
      </c>
      <c r="I342" s="43">
        <f t="shared" si="16"/>
        <v>1.2627314814814815E-2</v>
      </c>
      <c r="J342" s="44">
        <f t="shared" si="17"/>
        <v>1.697325</v>
      </c>
      <c r="K342" s="44">
        <f t="shared" si="18"/>
        <v>5.0215304227806463</v>
      </c>
      <c r="L342" s="96"/>
    </row>
    <row r="343" spans="1:12" x14ac:dyDescent="0.25">
      <c r="A343" s="41" t="s">
        <v>168</v>
      </c>
      <c r="B343" s="41" t="s">
        <v>224</v>
      </c>
      <c r="C343" s="41" t="s">
        <v>225</v>
      </c>
      <c r="D343" s="42">
        <v>45634.807638888888</v>
      </c>
      <c r="E343" s="42">
        <v>45634.822916666664</v>
      </c>
      <c r="F343">
        <v>1014</v>
      </c>
      <c r="G343">
        <v>1345</v>
      </c>
      <c r="H343">
        <v>1599.0060000000001</v>
      </c>
      <c r="I343" s="48">
        <f t="shared" si="16"/>
        <v>1.556712962962963E-2</v>
      </c>
      <c r="J343" s="49">
        <f t="shared" si="17"/>
        <v>1.5990060000000001</v>
      </c>
      <c r="K343" s="49">
        <f t="shared" si="18"/>
        <v>4.7306539850699139</v>
      </c>
      <c r="L343" s="96"/>
    </row>
    <row r="344" spans="1:12" x14ac:dyDescent="0.25">
      <c r="A344" s="41" t="s">
        <v>169</v>
      </c>
      <c r="B344" s="41" t="s">
        <v>224</v>
      </c>
      <c r="C344" s="41" t="s">
        <v>225</v>
      </c>
      <c r="D344" s="42">
        <v>45633.425694444442</v>
      </c>
      <c r="E344" s="42">
        <v>45633.477777777778</v>
      </c>
      <c r="F344">
        <v>4034</v>
      </c>
      <c r="G344">
        <v>4493</v>
      </c>
      <c r="H344">
        <v>5664.2219999999998</v>
      </c>
      <c r="I344" s="48">
        <f t="shared" si="16"/>
        <v>5.2002314814814814E-2</v>
      </c>
      <c r="J344" s="49">
        <f t="shared" si="17"/>
        <v>5.6642219999999996</v>
      </c>
      <c r="K344" s="49">
        <f t="shared" si="18"/>
        <v>16.757582133288228</v>
      </c>
      <c r="L344" s="96"/>
    </row>
    <row r="345" spans="1:12" x14ac:dyDescent="0.25">
      <c r="A345" s="41" t="s">
        <v>169</v>
      </c>
      <c r="B345" s="41" t="s">
        <v>224</v>
      </c>
      <c r="C345" s="41" t="s">
        <v>231</v>
      </c>
      <c r="D345" s="42">
        <v>45633.422222222223</v>
      </c>
      <c r="E345" s="42">
        <v>45633.42291666667</v>
      </c>
      <c r="F345">
        <v>0</v>
      </c>
      <c r="G345">
        <v>46</v>
      </c>
      <c r="H345">
        <v>0</v>
      </c>
      <c r="I345" s="43">
        <f t="shared" si="16"/>
        <v>5.3240740740740744E-4</v>
      </c>
      <c r="J345" s="44">
        <f t="shared" si="17"/>
        <v>0</v>
      </c>
      <c r="K345" s="44">
        <f t="shared" si="18"/>
        <v>0</v>
      </c>
      <c r="L345" s="96"/>
    </row>
    <row r="346" spans="1:12" x14ac:dyDescent="0.25">
      <c r="A346" s="41" t="s">
        <v>170</v>
      </c>
      <c r="B346" s="41" t="s">
        <v>224</v>
      </c>
      <c r="C346" s="41" t="s">
        <v>230</v>
      </c>
      <c r="D346" s="42">
        <v>45633.414583333331</v>
      </c>
      <c r="E346" s="42">
        <v>45633.420138888891</v>
      </c>
      <c r="F346">
        <v>12</v>
      </c>
      <c r="G346">
        <v>427</v>
      </c>
      <c r="H346">
        <v>50</v>
      </c>
      <c r="I346" s="48">
        <f t="shared" si="16"/>
        <v>4.9421296296296297E-3</v>
      </c>
      <c r="J346" s="49">
        <f t="shared" si="17"/>
        <v>0.05</v>
      </c>
      <c r="K346" s="49">
        <f t="shared" si="18"/>
        <v>0.14792483533738815</v>
      </c>
      <c r="L346" s="96"/>
    </row>
    <row r="347" spans="1:12" x14ac:dyDescent="0.25">
      <c r="A347" s="41" t="s">
        <v>170</v>
      </c>
      <c r="B347" s="41" t="s">
        <v>224</v>
      </c>
      <c r="C347" s="41" t="s">
        <v>230</v>
      </c>
      <c r="D347" s="42">
        <v>45633.4</v>
      </c>
      <c r="E347" s="42">
        <v>45633.404861111114</v>
      </c>
      <c r="F347">
        <v>23</v>
      </c>
      <c r="G347">
        <v>449</v>
      </c>
      <c r="H347">
        <v>49.5</v>
      </c>
      <c r="I347" s="48">
        <f t="shared" si="16"/>
        <v>5.1967592592592595E-3</v>
      </c>
      <c r="J347" s="49">
        <f t="shared" si="17"/>
        <v>4.9500000000000002E-2</v>
      </c>
      <c r="K347" s="49">
        <f t="shared" si="18"/>
        <v>0.14644558698401425</v>
      </c>
      <c r="L347" s="96"/>
    </row>
    <row r="348" spans="1:12" x14ac:dyDescent="0.25">
      <c r="A348" s="41" t="s">
        <v>171</v>
      </c>
      <c r="B348" s="41" t="s">
        <v>224</v>
      </c>
      <c r="C348" s="41" t="s">
        <v>225</v>
      </c>
      <c r="D348" s="42">
        <v>45627.837500000001</v>
      </c>
      <c r="E348" s="42">
        <v>45627.857638888891</v>
      </c>
      <c r="F348">
        <v>1411</v>
      </c>
      <c r="G348">
        <v>1739</v>
      </c>
      <c r="H348">
        <v>4037.1869999999999</v>
      </c>
      <c r="I348" s="43">
        <f t="shared" ref="I348:I349" si="19">G348/86400</f>
        <v>2.0127314814814813E-2</v>
      </c>
      <c r="J348" s="44">
        <f t="shared" ref="J348:J349" si="20">H348/1000</f>
        <v>4.0371870000000003</v>
      </c>
      <c r="K348" s="44">
        <f t="shared" ref="K348:K349" si="21">1.23*PI()*(1.75/2)^2*H348/1000</f>
        <v>11.94400444402488</v>
      </c>
      <c r="L348" s="96" t="s">
        <v>252</v>
      </c>
    </row>
    <row r="349" spans="1:12" x14ac:dyDescent="0.25">
      <c r="A349" s="41" t="s">
        <v>172</v>
      </c>
      <c r="B349" s="41" t="s">
        <v>224</v>
      </c>
      <c r="C349" s="41" t="s">
        <v>225</v>
      </c>
      <c r="D349" s="42">
        <v>45627.770833333336</v>
      </c>
      <c r="E349" s="42">
        <v>45627.81527777778</v>
      </c>
      <c r="F349">
        <v>3540</v>
      </c>
      <c r="G349">
        <v>3887</v>
      </c>
      <c r="H349">
        <v>4572.3959999999997</v>
      </c>
      <c r="I349" s="48">
        <f t="shared" si="19"/>
        <v>4.4988425925925925E-2</v>
      </c>
      <c r="J349" s="49">
        <f t="shared" si="20"/>
        <v>4.5723959999999995</v>
      </c>
      <c r="K349" s="49">
        <f t="shared" si="21"/>
        <v>13.527418507946642</v>
      </c>
      <c r="L349" s="96" t="s">
        <v>252</v>
      </c>
    </row>
    <row r="350" spans="1:12" x14ac:dyDescent="0.25">
      <c r="A350" s="41" t="s">
        <v>173</v>
      </c>
      <c r="B350" s="41" t="s">
        <v>224</v>
      </c>
      <c r="C350" s="41" t="s">
        <v>225</v>
      </c>
      <c r="D350" s="42">
        <v>45627.588194444441</v>
      </c>
      <c r="E350" s="42">
        <v>45627.631249999999</v>
      </c>
      <c r="F350">
        <v>3361</v>
      </c>
      <c r="G350">
        <v>3742</v>
      </c>
      <c r="H350">
        <v>7368.2749999999996</v>
      </c>
      <c r="I350" s="43">
        <f t="shared" ref="I350:I385" si="22">G350/86400</f>
        <v>4.3310185185185188E-2</v>
      </c>
      <c r="J350" s="44">
        <f t="shared" ref="J350:J385" si="23">H350/1000</f>
        <v>7.3682749999999997</v>
      </c>
      <c r="K350" s="44">
        <f t="shared" ref="K350:K385" si="24">1.23*PI()*(1.75/2)^2*H350/1000</f>
        <v>21.799017321911869</v>
      </c>
      <c r="L350" s="96" t="s">
        <v>260</v>
      </c>
    </row>
    <row r="351" spans="1:12" x14ac:dyDescent="0.25">
      <c r="A351" s="41" t="s">
        <v>174</v>
      </c>
      <c r="B351" s="41" t="s">
        <v>224</v>
      </c>
      <c r="C351" s="41" t="s">
        <v>225</v>
      </c>
      <c r="D351" s="42">
        <v>45627.486805555556</v>
      </c>
      <c r="E351" s="42">
        <v>45627.538194444445</v>
      </c>
      <c r="F351">
        <v>4090</v>
      </c>
      <c r="G351">
        <v>4425</v>
      </c>
      <c r="H351">
        <v>9688.4269999999997</v>
      </c>
      <c r="I351" s="48">
        <f t="shared" si="22"/>
        <v>5.1215277777777776E-2</v>
      </c>
      <c r="J351" s="49">
        <f t="shared" si="23"/>
        <v>9.688426999999999</v>
      </c>
      <c r="K351" s="49">
        <f t="shared" si="24"/>
        <v>28.663179373066104</v>
      </c>
      <c r="L351" s="96" t="s">
        <v>259</v>
      </c>
    </row>
    <row r="352" spans="1:12" x14ac:dyDescent="0.25">
      <c r="A352" s="41" t="s">
        <v>175</v>
      </c>
      <c r="B352" s="41" t="s">
        <v>224</v>
      </c>
      <c r="C352" s="41" t="s">
        <v>225</v>
      </c>
      <c r="D352" s="42">
        <v>45626.830555555556</v>
      </c>
      <c r="E352" s="42">
        <v>45626.873611111114</v>
      </c>
      <c r="F352">
        <v>3361</v>
      </c>
      <c r="G352">
        <v>3704</v>
      </c>
      <c r="H352">
        <v>11262.046</v>
      </c>
      <c r="I352" s="43">
        <f t="shared" si="22"/>
        <v>4.2870370370370371E-2</v>
      </c>
      <c r="J352" s="44">
        <f t="shared" si="23"/>
        <v>11.262046</v>
      </c>
      <c r="K352" s="44">
        <f t="shared" si="24"/>
        <v>33.31872600224181</v>
      </c>
      <c r="L352" s="96" t="s">
        <v>251</v>
      </c>
    </row>
    <row r="353" spans="1:12" x14ac:dyDescent="0.25">
      <c r="A353" s="41" t="s">
        <v>176</v>
      </c>
      <c r="B353" s="41" t="s">
        <v>224</v>
      </c>
      <c r="C353" s="41" t="s">
        <v>225</v>
      </c>
      <c r="D353" s="42">
        <v>45626.686805555553</v>
      </c>
      <c r="E353" s="42">
        <v>45626.755555555559</v>
      </c>
      <c r="F353">
        <v>5610</v>
      </c>
      <c r="G353">
        <v>5933</v>
      </c>
      <c r="H353">
        <v>10713.743</v>
      </c>
      <c r="I353" s="48">
        <f t="shared" si="22"/>
        <v>6.8668981481481484E-2</v>
      </c>
      <c r="J353" s="49">
        <f t="shared" si="23"/>
        <v>10.713743000000001</v>
      </c>
      <c r="K353" s="49">
        <f t="shared" si="24"/>
        <v>31.696573382441898</v>
      </c>
      <c r="L353" s="96"/>
    </row>
    <row r="354" spans="1:12" x14ac:dyDescent="0.25">
      <c r="A354" s="41" t="s">
        <v>177</v>
      </c>
      <c r="B354" s="41" t="s">
        <v>224</v>
      </c>
      <c r="C354" s="41" t="s">
        <v>228</v>
      </c>
      <c r="D354" s="42">
        <v>45626.636111111111</v>
      </c>
      <c r="E354" s="42">
        <v>45626.664583333331</v>
      </c>
      <c r="F354">
        <v>2075</v>
      </c>
      <c r="G354">
        <v>2490</v>
      </c>
      <c r="H354">
        <v>8809.5570000000007</v>
      </c>
      <c r="I354" s="43">
        <f t="shared" si="22"/>
        <v>2.8819444444444446E-2</v>
      </c>
      <c r="J354" s="44">
        <f t="shared" si="23"/>
        <v>8.8095569999999999</v>
      </c>
      <c r="K354" s="44">
        <f t="shared" si="24"/>
        <v>26.063045372406702</v>
      </c>
      <c r="L354" s="96"/>
    </row>
    <row r="355" spans="1:12" x14ac:dyDescent="0.25">
      <c r="A355" s="41" t="s">
        <v>178</v>
      </c>
      <c r="B355" s="41" t="s">
        <v>224</v>
      </c>
      <c r="C355" s="41" t="s">
        <v>228</v>
      </c>
      <c r="D355" s="42">
        <v>45626.585416666669</v>
      </c>
      <c r="E355" s="42">
        <v>45626.629861111112</v>
      </c>
      <c r="F355">
        <v>2978</v>
      </c>
      <c r="G355">
        <v>3888</v>
      </c>
      <c r="H355">
        <v>8592.8279999999995</v>
      </c>
      <c r="I355" s="48">
        <f t="shared" si="22"/>
        <v>4.4999999999999998E-2</v>
      </c>
      <c r="J355" s="49">
        <f t="shared" si="23"/>
        <v>8.592827999999999</v>
      </c>
      <c r="K355" s="49">
        <f t="shared" si="24"/>
        <v>25.421853339649964</v>
      </c>
      <c r="L355" s="96"/>
    </row>
    <row r="356" spans="1:12" x14ac:dyDescent="0.25">
      <c r="A356" s="41" t="s">
        <v>179</v>
      </c>
      <c r="B356" s="41" t="s">
        <v>224</v>
      </c>
      <c r="C356" s="41" t="s">
        <v>225</v>
      </c>
      <c r="D356" s="42">
        <v>45626.572916666664</v>
      </c>
      <c r="E356" s="42">
        <v>45626.579861111109</v>
      </c>
      <c r="F356">
        <v>267</v>
      </c>
      <c r="G356">
        <v>579</v>
      </c>
      <c r="H356">
        <v>352.35399999999998</v>
      </c>
      <c r="I356" s="43">
        <f t="shared" si="22"/>
        <v>6.7013888888888887E-3</v>
      </c>
      <c r="J356" s="44">
        <f t="shared" si="23"/>
        <v>0.352354</v>
      </c>
      <c r="K356" s="44">
        <f t="shared" si="24"/>
        <v>1.0424381486094012</v>
      </c>
      <c r="L356" s="96"/>
    </row>
    <row r="357" spans="1:12" x14ac:dyDescent="0.25">
      <c r="A357" s="41" t="s">
        <v>180</v>
      </c>
      <c r="B357" s="41" t="s">
        <v>224</v>
      </c>
      <c r="C357" s="41" t="s">
        <v>225</v>
      </c>
      <c r="D357" s="42">
        <v>45626.53125</v>
      </c>
      <c r="E357" s="42">
        <v>45626.561111111114</v>
      </c>
      <c r="F357">
        <v>2263</v>
      </c>
      <c r="G357">
        <v>2638</v>
      </c>
      <c r="H357">
        <v>6773.5640000000003</v>
      </c>
      <c r="I357" s="48">
        <f t="shared" si="22"/>
        <v>3.0532407407407407E-2</v>
      </c>
      <c r="J357" s="49">
        <f t="shared" si="23"/>
        <v>6.7735640000000004</v>
      </c>
      <c r="K357" s="49">
        <f t="shared" si="24"/>
        <v>20.039566786945205</v>
      </c>
      <c r="L357" s="96"/>
    </row>
    <row r="358" spans="1:12" x14ac:dyDescent="0.25">
      <c r="A358" s="41" t="s">
        <v>181</v>
      </c>
      <c r="B358" s="41" t="s">
        <v>224</v>
      </c>
      <c r="C358" s="41" t="s">
        <v>225</v>
      </c>
      <c r="D358" s="42">
        <v>45625.972916666666</v>
      </c>
      <c r="E358" s="42">
        <v>45625.981249999997</v>
      </c>
      <c r="F358">
        <v>346</v>
      </c>
      <c r="G358">
        <v>750</v>
      </c>
      <c r="H358">
        <v>628.01700000000005</v>
      </c>
      <c r="I358" s="43">
        <f t="shared" si="22"/>
        <v>8.6805555555555559E-3</v>
      </c>
      <c r="J358" s="44">
        <f t="shared" si="23"/>
        <v>0.62801700000000005</v>
      </c>
      <c r="K358" s="44">
        <f t="shared" si="24"/>
        <v>1.8579862262816098</v>
      </c>
      <c r="L358" s="96"/>
    </row>
    <row r="359" spans="1:12" x14ac:dyDescent="0.25">
      <c r="A359" s="41" t="s">
        <v>182</v>
      </c>
      <c r="B359" s="41" t="s">
        <v>224</v>
      </c>
      <c r="C359" s="41" t="s">
        <v>225</v>
      </c>
      <c r="D359" s="42">
        <v>45625.938194444447</v>
      </c>
      <c r="E359" s="42">
        <v>45625.951388888891</v>
      </c>
      <c r="F359">
        <v>799</v>
      </c>
      <c r="G359">
        <v>1123</v>
      </c>
      <c r="H359">
        <v>1153.3230000000001</v>
      </c>
      <c r="I359" s="48">
        <f t="shared" si="22"/>
        <v>1.2997685185185185E-2</v>
      </c>
      <c r="J359" s="49">
        <f t="shared" si="23"/>
        <v>1.1533230000000001</v>
      </c>
      <c r="K359" s="49">
        <f t="shared" si="24"/>
        <v>3.4121022973164505</v>
      </c>
      <c r="L359" s="96" t="s">
        <v>258</v>
      </c>
    </row>
    <row r="360" spans="1:12" x14ac:dyDescent="0.25">
      <c r="A360" s="41" t="s">
        <v>183</v>
      </c>
      <c r="B360" s="41" t="s">
        <v>224</v>
      </c>
      <c r="C360" s="41" t="s">
        <v>228</v>
      </c>
      <c r="D360" s="42">
        <v>45624.938194444447</v>
      </c>
      <c r="E360" s="42">
        <v>45624.944444444445</v>
      </c>
      <c r="F360">
        <v>183</v>
      </c>
      <c r="G360">
        <v>573</v>
      </c>
      <c r="H360">
        <v>256.28899999999999</v>
      </c>
      <c r="I360" s="43">
        <f t="shared" si="22"/>
        <v>6.6319444444444446E-3</v>
      </c>
      <c r="J360" s="44">
        <f t="shared" si="23"/>
        <v>0.25628899999999999</v>
      </c>
      <c r="K360" s="44">
        <f t="shared" si="24"/>
        <v>0.75823016247567743</v>
      </c>
      <c r="L360" s="96"/>
    </row>
    <row r="361" spans="1:12" x14ac:dyDescent="0.25">
      <c r="A361" s="41" t="s">
        <v>184</v>
      </c>
      <c r="B361" s="41" t="s">
        <v>224</v>
      </c>
      <c r="C361" s="41" t="s">
        <v>225</v>
      </c>
      <c r="D361" s="42">
        <v>45624.909722222219</v>
      </c>
      <c r="E361" s="42">
        <v>45624.929861111108</v>
      </c>
      <c r="F361">
        <v>1378</v>
      </c>
      <c r="G361">
        <v>1727</v>
      </c>
      <c r="H361">
        <v>4931.0680000000002</v>
      </c>
      <c r="I361" s="48">
        <f t="shared" si="22"/>
        <v>1.9988425925925927E-2</v>
      </c>
      <c r="J361" s="49">
        <f t="shared" si="23"/>
        <v>4.9310679999999998</v>
      </c>
      <c r="K361" s="49">
        <f t="shared" si="24"/>
        <v>14.588548438749278</v>
      </c>
      <c r="L361" s="96"/>
    </row>
    <row r="362" spans="1:12" x14ac:dyDescent="0.25">
      <c r="A362" s="41" t="s">
        <v>184</v>
      </c>
      <c r="B362" s="41" t="s">
        <v>224</v>
      </c>
      <c r="C362" s="41" t="s">
        <v>228</v>
      </c>
      <c r="D362" s="42">
        <v>45624.904861111114</v>
      </c>
      <c r="E362" s="42">
        <v>45624.90902777778</v>
      </c>
      <c r="F362">
        <v>34</v>
      </c>
      <c r="G362">
        <v>383</v>
      </c>
      <c r="H362">
        <v>46.5</v>
      </c>
      <c r="I362" s="43">
        <f t="shared" si="22"/>
        <v>4.43287037037037E-3</v>
      </c>
      <c r="J362" s="44">
        <f t="shared" si="23"/>
        <v>4.65E-2</v>
      </c>
      <c r="K362" s="44">
        <f t="shared" si="24"/>
        <v>0.13757009686377097</v>
      </c>
      <c r="L362" s="96"/>
    </row>
    <row r="363" spans="1:12" x14ac:dyDescent="0.25">
      <c r="A363" s="41" t="s">
        <v>185</v>
      </c>
      <c r="B363" s="41" t="s">
        <v>224</v>
      </c>
      <c r="C363" s="41" t="s">
        <v>225</v>
      </c>
      <c r="D363" s="42">
        <v>45624.879861111112</v>
      </c>
      <c r="E363" s="42">
        <v>45624.901388888888</v>
      </c>
      <c r="F363">
        <v>1520</v>
      </c>
      <c r="G363">
        <v>1877</v>
      </c>
      <c r="H363">
        <v>4348.5510000000004</v>
      </c>
      <c r="I363" s="48">
        <f t="shared" si="22"/>
        <v>2.1724537037037039E-2</v>
      </c>
      <c r="J363" s="49">
        <f t="shared" si="23"/>
        <v>4.3485510000000005</v>
      </c>
      <c r="K363" s="49">
        <f t="shared" si="24"/>
        <v>12.865173812624692</v>
      </c>
      <c r="L363" s="96"/>
    </row>
    <row r="364" spans="1:12" x14ac:dyDescent="0.25">
      <c r="A364" s="41" t="s">
        <v>186</v>
      </c>
      <c r="B364" s="41" t="s">
        <v>224</v>
      </c>
      <c r="C364" s="41" t="s">
        <v>225</v>
      </c>
      <c r="D364" s="42">
        <v>45624.852777777778</v>
      </c>
      <c r="E364" s="42">
        <v>45624.872916666667</v>
      </c>
      <c r="F364">
        <v>1394</v>
      </c>
      <c r="G364">
        <v>1741</v>
      </c>
      <c r="H364">
        <v>5111.5010000000002</v>
      </c>
      <c r="I364" s="43">
        <f t="shared" si="22"/>
        <v>2.0150462962962964E-2</v>
      </c>
      <c r="J364" s="44">
        <f t="shared" si="23"/>
        <v>5.1115010000000005</v>
      </c>
      <c r="K364" s="44">
        <f t="shared" si="24"/>
        <v>15.122358875037897</v>
      </c>
      <c r="L364" s="96"/>
    </row>
    <row r="365" spans="1:12" x14ac:dyDescent="0.25">
      <c r="A365" s="41" t="s">
        <v>186</v>
      </c>
      <c r="B365" s="41" t="s">
        <v>224</v>
      </c>
      <c r="C365" s="41" t="s">
        <v>231</v>
      </c>
      <c r="D365" s="42">
        <v>45624.849305555559</v>
      </c>
      <c r="E365" s="42">
        <v>45624.850694444445</v>
      </c>
      <c r="F365">
        <v>0</v>
      </c>
      <c r="G365">
        <v>128</v>
      </c>
      <c r="H365">
        <v>0</v>
      </c>
      <c r="I365" s="48">
        <f t="shared" si="22"/>
        <v>1.4814814814814814E-3</v>
      </c>
      <c r="J365" s="49">
        <f t="shared" si="23"/>
        <v>0</v>
      </c>
      <c r="K365" s="49">
        <f t="shared" si="24"/>
        <v>0</v>
      </c>
      <c r="L365" s="96"/>
    </row>
    <row r="366" spans="1:12" x14ac:dyDescent="0.25">
      <c r="A366" s="41" t="s">
        <v>187</v>
      </c>
      <c r="B366" s="41" t="s">
        <v>224</v>
      </c>
      <c r="C366" s="41" t="s">
        <v>228</v>
      </c>
      <c r="D366" s="42">
        <v>45624.843055555553</v>
      </c>
      <c r="E366" s="42">
        <v>45624.848611111112</v>
      </c>
      <c r="F366">
        <v>128</v>
      </c>
      <c r="G366">
        <v>497</v>
      </c>
      <c r="H366">
        <v>208.53299999999999</v>
      </c>
      <c r="I366" s="43">
        <f t="shared" si="22"/>
        <v>5.7523148148148151E-3</v>
      </c>
      <c r="J366" s="44">
        <f t="shared" si="23"/>
        <v>0.208533</v>
      </c>
      <c r="K366" s="44">
        <f t="shared" si="24"/>
        <v>0.61694419374823117</v>
      </c>
      <c r="L366" s="96"/>
    </row>
    <row r="367" spans="1:12" x14ac:dyDescent="0.25">
      <c r="A367" s="41" t="s">
        <v>188</v>
      </c>
      <c r="B367" s="41" t="s">
        <v>224</v>
      </c>
      <c r="C367" s="41" t="s">
        <v>225</v>
      </c>
      <c r="D367" s="42">
        <v>45623.929861111108</v>
      </c>
      <c r="E367" s="42">
        <v>45623.986805555556</v>
      </c>
      <c r="F367">
        <v>4598</v>
      </c>
      <c r="G367">
        <v>4881</v>
      </c>
      <c r="H367">
        <v>4404.0889999999999</v>
      </c>
      <c r="I367" s="48">
        <f t="shared" si="22"/>
        <v>5.6493055555555553E-2</v>
      </c>
      <c r="J367" s="49">
        <f t="shared" si="23"/>
        <v>4.4040889999999999</v>
      </c>
      <c r="K367" s="49">
        <f t="shared" si="24"/>
        <v>13.029482802724047</v>
      </c>
      <c r="L367" s="96" t="s">
        <v>257</v>
      </c>
    </row>
    <row r="368" spans="1:12" x14ac:dyDescent="0.25">
      <c r="A368" s="41" t="s">
        <v>189</v>
      </c>
      <c r="B368" s="41" t="s">
        <v>224</v>
      </c>
      <c r="C368" s="41" t="s">
        <v>230</v>
      </c>
      <c r="D368" s="42">
        <v>45623.916666666664</v>
      </c>
      <c r="E368" s="42">
        <v>45623.925694444442</v>
      </c>
      <c r="F368">
        <v>0</v>
      </c>
      <c r="G368">
        <v>796</v>
      </c>
      <c r="H368">
        <v>0</v>
      </c>
      <c r="I368" s="43">
        <f t="shared" si="22"/>
        <v>9.2129629629629627E-3</v>
      </c>
      <c r="J368" s="44">
        <f t="shared" si="23"/>
        <v>0</v>
      </c>
      <c r="K368" s="44">
        <f t="shared" si="24"/>
        <v>0</v>
      </c>
      <c r="L368" s="96"/>
    </row>
    <row r="369" spans="1:12" x14ac:dyDescent="0.25">
      <c r="A369" s="41" t="s">
        <v>189</v>
      </c>
      <c r="B369" s="41" t="s">
        <v>224</v>
      </c>
      <c r="C369" s="41" t="s">
        <v>230</v>
      </c>
      <c r="D369" s="42">
        <v>45623.895833333336</v>
      </c>
      <c r="E369" s="42">
        <v>45623.904861111114</v>
      </c>
      <c r="F369">
        <v>0</v>
      </c>
      <c r="G369">
        <v>814</v>
      </c>
      <c r="H369">
        <v>0</v>
      </c>
      <c r="I369" s="48">
        <f t="shared" si="22"/>
        <v>9.4212962962962957E-3</v>
      </c>
      <c r="J369" s="49">
        <f t="shared" si="23"/>
        <v>0</v>
      </c>
      <c r="K369" s="49">
        <f t="shared" si="24"/>
        <v>0</v>
      </c>
      <c r="L369" s="96"/>
    </row>
    <row r="370" spans="1:12" x14ac:dyDescent="0.25">
      <c r="A370" s="41" t="s">
        <v>190</v>
      </c>
      <c r="B370" s="41" t="s">
        <v>224</v>
      </c>
      <c r="C370" s="41" t="s">
        <v>225</v>
      </c>
      <c r="D370" s="42">
        <v>45623.854166666664</v>
      </c>
      <c r="E370" s="42">
        <v>45623.875694444447</v>
      </c>
      <c r="F370">
        <v>926</v>
      </c>
      <c r="G370">
        <v>1892</v>
      </c>
      <c r="H370">
        <v>1758.7639999999999</v>
      </c>
      <c r="I370" s="43">
        <f t="shared" si="22"/>
        <v>2.1898148148148149E-2</v>
      </c>
      <c r="J370" s="44">
        <f t="shared" si="23"/>
        <v>1.758764</v>
      </c>
      <c r="K370" s="44">
        <f t="shared" si="24"/>
        <v>5.2032975019465217</v>
      </c>
      <c r="L370" s="96"/>
    </row>
    <row r="371" spans="1:12" x14ac:dyDescent="0.25">
      <c r="A371" s="41" t="s">
        <v>191</v>
      </c>
      <c r="B371" s="41" t="s">
        <v>224</v>
      </c>
      <c r="C371" s="41" t="s">
        <v>225</v>
      </c>
      <c r="D371" s="42">
        <v>45622.870833333334</v>
      </c>
      <c r="E371" s="42">
        <v>45622.947916666664</v>
      </c>
      <c r="F371">
        <v>6343</v>
      </c>
      <c r="G371">
        <v>6689</v>
      </c>
      <c r="H371">
        <v>17770.886999999999</v>
      </c>
      <c r="I371" s="48">
        <f t="shared" si="22"/>
        <v>7.7418981481481478E-2</v>
      </c>
      <c r="J371" s="49">
        <f t="shared" si="23"/>
        <v>17.770886999999998</v>
      </c>
      <c r="K371" s="49">
        <f t="shared" si="24"/>
        <v>52.575110665486626</v>
      </c>
      <c r="L371" s="96"/>
    </row>
    <row r="372" spans="1:12" x14ac:dyDescent="0.25">
      <c r="A372" s="41" t="s">
        <v>192</v>
      </c>
      <c r="B372" s="41" t="s">
        <v>224</v>
      </c>
      <c r="C372" s="41" t="s">
        <v>228</v>
      </c>
      <c r="D372" s="42">
        <v>45622.851388888892</v>
      </c>
      <c r="E372" s="42">
        <v>45622.857638888891</v>
      </c>
      <c r="F372">
        <v>148</v>
      </c>
      <c r="G372">
        <v>518</v>
      </c>
      <c r="H372">
        <v>283.81900000000002</v>
      </c>
      <c r="I372" s="43">
        <f t="shared" si="22"/>
        <v>5.9953703703703705E-3</v>
      </c>
      <c r="J372" s="44">
        <f t="shared" si="23"/>
        <v>0.28381900000000004</v>
      </c>
      <c r="K372" s="44">
        <f t="shared" si="24"/>
        <v>0.83967757681244337</v>
      </c>
      <c r="L372" s="96"/>
    </row>
    <row r="373" spans="1:12" x14ac:dyDescent="0.25">
      <c r="A373" s="41" t="s">
        <v>193</v>
      </c>
      <c r="B373" s="41" t="s">
        <v>224</v>
      </c>
      <c r="C373" s="41" t="s">
        <v>225</v>
      </c>
      <c r="D373" s="42">
        <v>45621.845833333333</v>
      </c>
      <c r="E373" s="42">
        <v>45621.907638888886</v>
      </c>
      <c r="F373">
        <v>5019</v>
      </c>
      <c r="G373">
        <v>5328</v>
      </c>
      <c r="H373">
        <v>11791.21</v>
      </c>
      <c r="I373" s="48">
        <f t="shared" si="22"/>
        <v>6.1666666666666668E-2</v>
      </c>
      <c r="J373" s="49">
        <f t="shared" si="23"/>
        <v>11.79121</v>
      </c>
      <c r="K373" s="49">
        <f t="shared" si="24"/>
        <v>34.884255953571284</v>
      </c>
      <c r="L373" s="96"/>
    </row>
    <row r="374" spans="1:12" x14ac:dyDescent="0.25">
      <c r="A374" s="41" t="s">
        <v>194</v>
      </c>
      <c r="B374" s="41" t="s">
        <v>224</v>
      </c>
      <c r="C374" s="41" t="s">
        <v>225</v>
      </c>
      <c r="D374" s="42">
        <v>45621.801388888889</v>
      </c>
      <c r="E374" s="42">
        <v>45621.840277777781</v>
      </c>
      <c r="F374">
        <v>3039</v>
      </c>
      <c r="G374">
        <v>3371</v>
      </c>
      <c r="H374">
        <v>1829.675</v>
      </c>
      <c r="I374" s="43">
        <f t="shared" si="22"/>
        <v>3.9016203703703706E-2</v>
      </c>
      <c r="J374" s="44">
        <f t="shared" si="23"/>
        <v>1.8296749999999999</v>
      </c>
      <c r="K374" s="44">
        <f t="shared" si="24"/>
        <v>5.4130874619187122</v>
      </c>
      <c r="L374" s="96"/>
    </row>
    <row r="375" spans="1:12" x14ac:dyDescent="0.25">
      <c r="A375" s="41" t="s">
        <v>195</v>
      </c>
      <c r="B375" s="41" t="s">
        <v>224</v>
      </c>
      <c r="C375" s="41" t="s">
        <v>225</v>
      </c>
      <c r="D375" s="42">
        <v>45620.700694444444</v>
      </c>
      <c r="E375" s="42">
        <v>45620.838194444441</v>
      </c>
      <c r="F375">
        <v>11445</v>
      </c>
      <c r="G375">
        <v>11863</v>
      </c>
      <c r="H375">
        <v>26758.241999999998</v>
      </c>
      <c r="I375" s="48">
        <f t="shared" si="22"/>
        <v>0.13730324074074074</v>
      </c>
      <c r="J375" s="49">
        <f t="shared" si="23"/>
        <v>26.758241999999999</v>
      </c>
      <c r="K375" s="49">
        <f t="shared" si="24"/>
        <v>79.164170835359656</v>
      </c>
      <c r="L375" s="96"/>
    </row>
    <row r="376" spans="1:12" x14ac:dyDescent="0.25">
      <c r="A376" s="41" t="s">
        <v>196</v>
      </c>
      <c r="B376" s="41" t="s">
        <v>224</v>
      </c>
      <c r="C376" s="41" t="s">
        <v>225</v>
      </c>
      <c r="D376" s="42">
        <v>45619.8</v>
      </c>
      <c r="E376" s="42">
        <v>45619.92291666667</v>
      </c>
      <c r="F376">
        <v>10597</v>
      </c>
      <c r="G376">
        <v>10628</v>
      </c>
      <c r="H376">
        <v>20457.71</v>
      </c>
      <c r="I376" s="43">
        <f t="shared" si="22"/>
        <v>0.12300925925925926</v>
      </c>
      <c r="J376" s="44">
        <f t="shared" si="23"/>
        <v>20.457709999999999</v>
      </c>
      <c r="K376" s="44">
        <f t="shared" si="24"/>
        <v>60.524067662600771</v>
      </c>
      <c r="L376" s="96"/>
    </row>
    <row r="377" spans="1:12" x14ac:dyDescent="0.25">
      <c r="A377" s="41" t="s">
        <v>197</v>
      </c>
      <c r="B377" s="41" t="s">
        <v>224</v>
      </c>
      <c r="C377" s="41" t="s">
        <v>225</v>
      </c>
      <c r="D377" s="42">
        <v>45619.775000000001</v>
      </c>
      <c r="E377" s="42">
        <v>45619.786111111112</v>
      </c>
      <c r="F377">
        <v>622</v>
      </c>
      <c r="G377">
        <v>927</v>
      </c>
      <c r="H377">
        <v>1439.075</v>
      </c>
      <c r="I377" s="48">
        <f t="shared" si="22"/>
        <v>1.0729166666666666E-2</v>
      </c>
      <c r="J377" s="49">
        <f t="shared" si="23"/>
        <v>1.4390750000000001</v>
      </c>
      <c r="K377" s="49">
        <f t="shared" si="24"/>
        <v>4.2574986482630361</v>
      </c>
      <c r="L377" s="96"/>
    </row>
    <row r="378" spans="1:12" x14ac:dyDescent="0.25">
      <c r="A378" s="41" t="s">
        <v>197</v>
      </c>
      <c r="B378" s="41" t="s">
        <v>224</v>
      </c>
      <c r="C378" s="41" t="s">
        <v>228</v>
      </c>
      <c r="D378" s="42">
        <v>45619.765972222223</v>
      </c>
      <c r="E378" s="42">
        <v>45619.768055555556</v>
      </c>
      <c r="F378">
        <v>156</v>
      </c>
      <c r="G378">
        <v>189</v>
      </c>
      <c r="H378">
        <v>367.26100000000002</v>
      </c>
      <c r="I378" s="43">
        <f t="shared" si="22"/>
        <v>2.1875000000000002E-3</v>
      </c>
      <c r="J378" s="44">
        <f t="shared" si="23"/>
        <v>0.367261</v>
      </c>
      <c r="K378" s="44">
        <f t="shared" si="24"/>
        <v>1.0865404590168903</v>
      </c>
      <c r="L378" s="96"/>
    </row>
    <row r="379" spans="1:12" x14ac:dyDescent="0.25">
      <c r="A379" s="41" t="s">
        <v>198</v>
      </c>
      <c r="B379" s="41" t="s">
        <v>224</v>
      </c>
      <c r="C379" s="41" t="s">
        <v>228</v>
      </c>
      <c r="D379" s="42">
        <v>45619.725694444445</v>
      </c>
      <c r="E379" s="42">
        <v>45619.736111111109</v>
      </c>
      <c r="F379">
        <v>594</v>
      </c>
      <c r="G379">
        <v>905</v>
      </c>
      <c r="H379">
        <v>1414.498</v>
      </c>
      <c r="I379" s="48">
        <f t="shared" si="22"/>
        <v>1.0474537037037037E-2</v>
      </c>
      <c r="J379" s="49">
        <f t="shared" si="23"/>
        <v>1.414498</v>
      </c>
      <c r="K379" s="49">
        <f t="shared" si="24"/>
        <v>4.1847876747012966</v>
      </c>
      <c r="L379" s="96"/>
    </row>
    <row r="380" spans="1:12" x14ac:dyDescent="0.25">
      <c r="A380" s="41" t="s">
        <v>199</v>
      </c>
      <c r="B380" s="41" t="s">
        <v>224</v>
      </c>
      <c r="C380" s="41" t="s">
        <v>228</v>
      </c>
      <c r="D380" s="42">
        <v>45619.550694444442</v>
      </c>
      <c r="E380" s="42">
        <v>45619.7</v>
      </c>
      <c r="F380">
        <v>10470</v>
      </c>
      <c r="G380">
        <v>12907</v>
      </c>
      <c r="H380">
        <v>44384.535000000003</v>
      </c>
      <c r="I380" s="43">
        <f t="shared" si="22"/>
        <v>0.14938657407407407</v>
      </c>
      <c r="J380" s="44">
        <f t="shared" si="23"/>
        <v>44.384535000000007</v>
      </c>
      <c r="K380" s="44">
        <f t="shared" si="24"/>
        <v>131.31150062803084</v>
      </c>
      <c r="L380" s="96" t="s">
        <v>256</v>
      </c>
    </row>
    <row r="381" spans="1:12" x14ac:dyDescent="0.25">
      <c r="A381" s="41" t="s">
        <v>200</v>
      </c>
      <c r="B381" s="41" t="s">
        <v>224</v>
      </c>
      <c r="C381" s="41" t="s">
        <v>228</v>
      </c>
      <c r="D381" s="42">
        <v>45619.522222222222</v>
      </c>
      <c r="E381" s="42">
        <v>45619.538194444445</v>
      </c>
      <c r="F381">
        <v>958</v>
      </c>
      <c r="G381">
        <v>1383</v>
      </c>
      <c r="H381">
        <v>1648.742</v>
      </c>
      <c r="I381" s="48">
        <f t="shared" si="22"/>
        <v>1.6006944444444445E-2</v>
      </c>
      <c r="J381" s="49">
        <f t="shared" si="23"/>
        <v>1.6487419999999999</v>
      </c>
      <c r="K381" s="49">
        <f t="shared" si="24"/>
        <v>4.8777977772767196</v>
      </c>
      <c r="L381" s="96"/>
    </row>
    <row r="382" spans="1:12" x14ac:dyDescent="0.25">
      <c r="A382" s="41" t="s">
        <v>201</v>
      </c>
      <c r="B382" s="41" t="s">
        <v>224</v>
      </c>
      <c r="C382" s="41" t="s">
        <v>225</v>
      </c>
      <c r="D382" s="42">
        <v>45616.831944444442</v>
      </c>
      <c r="E382" s="42">
        <v>45616.925694444442</v>
      </c>
      <c r="F382">
        <v>7808</v>
      </c>
      <c r="G382">
        <v>8100</v>
      </c>
      <c r="H382">
        <v>6235.7110000000002</v>
      </c>
      <c r="I382" s="43">
        <f t="shared" si="22"/>
        <v>9.375E-2</v>
      </c>
      <c r="J382" s="44">
        <f t="shared" si="23"/>
        <v>6.2357110000000002</v>
      </c>
      <c r="K382" s="44">
        <f t="shared" si="24"/>
        <v>18.448330457730801</v>
      </c>
      <c r="L382" s="96" t="s">
        <v>255</v>
      </c>
    </row>
    <row r="383" spans="1:12" x14ac:dyDescent="0.25">
      <c r="A383" s="41" t="s">
        <v>202</v>
      </c>
      <c r="B383" s="41" t="s">
        <v>224</v>
      </c>
      <c r="C383" s="41" t="s">
        <v>225</v>
      </c>
      <c r="D383" s="42">
        <v>45613.8</v>
      </c>
      <c r="E383" s="42">
        <v>45613.829861111109</v>
      </c>
      <c r="F383">
        <v>2566</v>
      </c>
      <c r="G383">
        <v>2597</v>
      </c>
      <c r="H383">
        <v>8664.4150000000009</v>
      </c>
      <c r="I383" s="48">
        <f t="shared" si="22"/>
        <v>3.005787037037037E-2</v>
      </c>
      <c r="J383" s="49">
        <f t="shared" si="23"/>
        <v>8.6644150000000018</v>
      </c>
      <c r="K383" s="49">
        <f t="shared" si="24"/>
        <v>25.63364324339592</v>
      </c>
      <c r="L383" s="96"/>
    </row>
    <row r="384" spans="1:12" x14ac:dyDescent="0.25">
      <c r="A384" s="41" t="s">
        <v>203</v>
      </c>
      <c r="B384" s="41" t="s">
        <v>224</v>
      </c>
      <c r="C384" s="41" t="s">
        <v>225</v>
      </c>
      <c r="D384" s="42">
        <v>45612.854166666664</v>
      </c>
      <c r="E384" s="42">
        <v>45612.861111111109</v>
      </c>
      <c r="F384">
        <v>568</v>
      </c>
      <c r="G384">
        <v>597</v>
      </c>
      <c r="H384">
        <v>1214.4949999999999</v>
      </c>
      <c r="I384" s="43">
        <f t="shared" si="22"/>
        <v>6.9097222222222225E-3</v>
      </c>
      <c r="J384" s="44">
        <f t="shared" si="23"/>
        <v>1.2144949999999999</v>
      </c>
      <c r="K384" s="44">
        <f t="shared" si="24"/>
        <v>3.5930794578616236</v>
      </c>
      <c r="L384" s="96" t="s">
        <v>254</v>
      </c>
    </row>
    <row r="385" spans="1:12" x14ac:dyDescent="0.25">
      <c r="A385" s="41" t="s">
        <v>204</v>
      </c>
      <c r="B385" s="41" t="s">
        <v>224</v>
      </c>
      <c r="C385" s="41" t="s">
        <v>225</v>
      </c>
      <c r="D385" s="42">
        <v>45612.734027777777</v>
      </c>
      <c r="E385" s="42">
        <v>45612.739583333336</v>
      </c>
      <c r="F385">
        <v>461</v>
      </c>
      <c r="G385">
        <v>490</v>
      </c>
      <c r="H385">
        <v>343.59199999999998</v>
      </c>
      <c r="I385" s="48">
        <f t="shared" si="22"/>
        <v>5.6712962962962967E-3</v>
      </c>
      <c r="J385" s="49">
        <f t="shared" si="23"/>
        <v>0.34359200000000001</v>
      </c>
      <c r="K385" s="49">
        <f t="shared" si="24"/>
        <v>1.0165158004648773</v>
      </c>
      <c r="L385" s="98"/>
    </row>
    <row r="386" spans="1:12" x14ac:dyDescent="0.25">
      <c r="A386" s="105"/>
      <c r="B386" s="106"/>
      <c r="C386" s="106"/>
      <c r="D386" s="107"/>
      <c r="E386" s="107"/>
      <c r="F386" s="108"/>
      <c r="G386" s="108"/>
      <c r="H386" s="108"/>
    </row>
    <row r="387" spans="1:12" x14ac:dyDescent="0.25">
      <c r="A387" s="105"/>
      <c r="B387" s="106"/>
      <c r="C387" s="106"/>
      <c r="D387" s="107"/>
      <c r="E387" s="107"/>
      <c r="F387" s="108"/>
      <c r="G387" s="108"/>
      <c r="H387" s="108"/>
    </row>
    <row r="388" spans="1:12" x14ac:dyDescent="0.25">
      <c r="A388" s="105"/>
      <c r="B388" s="106"/>
      <c r="C388" s="106"/>
      <c r="D388" s="107"/>
      <c r="E388" s="107"/>
      <c r="F388" s="108"/>
      <c r="G388" s="108"/>
      <c r="H388" s="108"/>
    </row>
    <row r="389" spans="1:12" x14ac:dyDescent="0.25">
      <c r="A389" s="105"/>
      <c r="B389" s="106"/>
      <c r="C389" s="106"/>
      <c r="D389" s="107"/>
      <c r="E389" s="107"/>
      <c r="F389" s="108"/>
      <c r="G389" s="108"/>
      <c r="H389" s="108"/>
    </row>
    <row r="390" spans="1:12" x14ac:dyDescent="0.25">
      <c r="A390" s="105"/>
      <c r="B390" s="106"/>
      <c r="C390" s="106"/>
      <c r="D390" s="107"/>
      <c r="E390" s="107"/>
      <c r="F390" s="108"/>
      <c r="G390" s="108"/>
      <c r="H390" s="108"/>
    </row>
    <row r="391" spans="1:12" x14ac:dyDescent="0.25">
      <c r="A391" s="105"/>
      <c r="B391" s="106"/>
      <c r="C391" s="106"/>
      <c r="D391" s="107"/>
      <c r="E391" s="107"/>
      <c r="F391" s="108"/>
      <c r="G391" s="108"/>
      <c r="H391" s="108"/>
    </row>
    <row r="392" spans="1:12" x14ac:dyDescent="0.25">
      <c r="A392" s="109"/>
      <c r="B392" s="108"/>
      <c r="C392" s="108"/>
      <c r="D392" s="108"/>
      <c r="E392" s="108"/>
      <c r="F392" s="108"/>
      <c r="G392" s="108"/>
      <c r="H392" s="108"/>
    </row>
    <row r="393" spans="1:12" x14ac:dyDescent="0.25">
      <c r="A393" s="109"/>
      <c r="B393" s="108"/>
      <c r="C393" s="108"/>
      <c r="D393" s="108"/>
      <c r="E393" s="108"/>
      <c r="F393" s="108"/>
      <c r="G393" s="108"/>
      <c r="H393" s="108"/>
    </row>
    <row r="394" spans="1:12" x14ac:dyDescent="0.25">
      <c r="A394" s="109"/>
      <c r="B394" s="108"/>
      <c r="C394" s="108"/>
      <c r="D394" s="108"/>
      <c r="E394" s="108"/>
      <c r="F394" s="108"/>
      <c r="G394" s="108"/>
      <c r="H394" s="108"/>
    </row>
    <row r="395" spans="1:12" x14ac:dyDescent="0.25">
      <c r="A395" s="109"/>
      <c r="B395" s="108"/>
      <c r="C395" s="108"/>
      <c r="D395" s="108"/>
      <c r="E395" s="108"/>
      <c r="F395" s="108"/>
      <c r="G395" s="108"/>
      <c r="H395" s="108"/>
    </row>
    <row r="396" spans="1:12" x14ac:dyDescent="0.25">
      <c r="A396" s="109"/>
      <c r="B396" s="108"/>
      <c r="C396" s="108"/>
      <c r="D396" s="108"/>
      <c r="E396" s="108"/>
      <c r="F396" s="108"/>
      <c r="G396" s="108"/>
      <c r="H396" s="108"/>
    </row>
    <row r="397" spans="1:12" x14ac:dyDescent="0.25">
      <c r="A397" s="109"/>
      <c r="B397" s="108"/>
      <c r="C397" s="108"/>
      <c r="D397" s="108"/>
      <c r="E397" s="108"/>
      <c r="F397" s="108"/>
      <c r="G397" s="108"/>
      <c r="H397" s="108"/>
    </row>
    <row r="398" spans="1:12" x14ac:dyDescent="0.25">
      <c r="A398" s="109"/>
      <c r="B398" s="108"/>
      <c r="C398" s="108"/>
      <c r="D398" s="108"/>
      <c r="E398" s="108"/>
      <c r="F398" s="108"/>
      <c r="G398" s="108"/>
      <c r="H398" s="108"/>
    </row>
    <row r="399" spans="1:12" x14ac:dyDescent="0.25">
      <c r="A399" s="109"/>
      <c r="B399" s="108"/>
      <c r="C399" s="108"/>
      <c r="D399" s="108"/>
      <c r="E399" s="108"/>
      <c r="F399" s="108"/>
      <c r="G399" s="108"/>
      <c r="H399" s="108"/>
    </row>
    <row r="400" spans="1:12" x14ac:dyDescent="0.25">
      <c r="A400" s="109"/>
      <c r="B400" s="108"/>
      <c r="C400" s="108"/>
      <c r="D400" s="108"/>
      <c r="E400" s="108"/>
      <c r="F400" s="108"/>
      <c r="G400" s="108"/>
      <c r="H400" s="108"/>
    </row>
    <row r="401" spans="1:8" x14ac:dyDescent="0.25">
      <c r="A401" s="109"/>
      <c r="B401" s="108"/>
      <c r="C401" s="108"/>
      <c r="D401" s="108"/>
      <c r="E401" s="108"/>
      <c r="F401" s="108"/>
      <c r="G401" s="108"/>
      <c r="H401" s="108"/>
    </row>
    <row r="402" spans="1:8" x14ac:dyDescent="0.25">
      <c r="A402" s="109"/>
      <c r="B402" s="108"/>
      <c r="C402" s="108"/>
      <c r="D402" s="108"/>
      <c r="E402" s="108"/>
      <c r="F402" s="108"/>
      <c r="G402" s="108"/>
      <c r="H402" s="108"/>
    </row>
    <row r="403" spans="1:8" x14ac:dyDescent="0.25">
      <c r="A403" s="109"/>
      <c r="B403" s="108"/>
      <c r="C403" s="108"/>
      <c r="D403" s="108"/>
      <c r="E403" s="108"/>
      <c r="F403" s="108"/>
      <c r="G403" s="108"/>
      <c r="H403" s="108"/>
    </row>
    <row r="404" spans="1:8" x14ac:dyDescent="0.25">
      <c r="A404" s="109"/>
      <c r="B404" s="108"/>
      <c r="C404" s="108"/>
      <c r="D404" s="108"/>
      <c r="E404" s="108"/>
      <c r="F404" s="108"/>
      <c r="G404" s="108"/>
      <c r="H404" s="108"/>
    </row>
    <row r="405" spans="1:8" x14ac:dyDescent="0.25">
      <c r="A405" s="109"/>
      <c r="B405" s="108"/>
      <c r="C405" s="108"/>
      <c r="D405" s="108"/>
      <c r="E405" s="108"/>
      <c r="F405" s="108"/>
      <c r="G405" s="108"/>
      <c r="H405" s="108"/>
    </row>
    <row r="406" spans="1:8" x14ac:dyDescent="0.25">
      <c r="A406" s="109"/>
      <c r="B406" s="108"/>
      <c r="C406" s="108"/>
      <c r="D406" s="108"/>
      <c r="E406" s="108"/>
      <c r="F406" s="108"/>
      <c r="G406" s="108"/>
      <c r="H406" s="108"/>
    </row>
    <row r="407" spans="1:8" x14ac:dyDescent="0.25">
      <c r="A407" s="109"/>
      <c r="B407" s="108"/>
      <c r="C407" s="108"/>
      <c r="D407" s="108"/>
      <c r="E407" s="108"/>
      <c r="F407" s="108"/>
      <c r="G407" s="108"/>
      <c r="H407" s="108"/>
    </row>
    <row r="408" spans="1:8" x14ac:dyDescent="0.25">
      <c r="A408" s="109"/>
      <c r="B408" s="108"/>
      <c r="C408" s="108"/>
      <c r="D408" s="108"/>
      <c r="E408" s="108"/>
      <c r="F408" s="108"/>
      <c r="G408" s="108"/>
      <c r="H408" s="108"/>
    </row>
    <row r="409" spans="1:8" x14ac:dyDescent="0.25">
      <c r="A409" s="109"/>
      <c r="B409" s="108"/>
      <c r="C409" s="108"/>
      <c r="D409" s="108"/>
      <c r="E409" s="108"/>
      <c r="F409" s="108"/>
      <c r="G409" s="108"/>
      <c r="H409" s="108"/>
    </row>
    <row r="410" spans="1:8" x14ac:dyDescent="0.25">
      <c r="A410" s="109"/>
      <c r="B410" s="108"/>
      <c r="C410" s="108"/>
      <c r="D410" s="108"/>
      <c r="E410" s="108"/>
      <c r="F410" s="108"/>
      <c r="G410" s="108"/>
      <c r="H410" s="108"/>
    </row>
    <row r="411" spans="1:8" x14ac:dyDescent="0.25">
      <c r="A411" s="109"/>
      <c r="B411" s="108"/>
      <c r="C411" s="108"/>
      <c r="D411" s="108"/>
      <c r="E411" s="108"/>
      <c r="F411" s="108"/>
      <c r="G411" s="108"/>
      <c r="H411" s="108"/>
    </row>
    <row r="412" spans="1:8" x14ac:dyDescent="0.25">
      <c r="A412" s="109"/>
      <c r="B412" s="108"/>
      <c r="C412" s="108"/>
      <c r="D412" s="108"/>
      <c r="E412" s="108"/>
      <c r="F412" s="108"/>
      <c r="G412" s="108"/>
      <c r="H412" s="108"/>
    </row>
    <row r="413" spans="1:8" x14ac:dyDescent="0.25">
      <c r="A413" s="109"/>
      <c r="B413" s="108"/>
      <c r="C413" s="108"/>
      <c r="D413" s="108"/>
      <c r="E413" s="108"/>
      <c r="F413" s="108"/>
      <c r="G413" s="108"/>
      <c r="H413" s="108"/>
    </row>
    <row r="414" spans="1:8" x14ac:dyDescent="0.25">
      <c r="A414" s="109"/>
      <c r="B414" s="108"/>
      <c r="C414" s="108"/>
      <c r="D414" s="108"/>
      <c r="E414" s="108"/>
      <c r="F414" s="108"/>
      <c r="G414" s="108"/>
      <c r="H414" s="108"/>
    </row>
    <row r="415" spans="1:8" x14ac:dyDescent="0.25">
      <c r="A415" s="109"/>
      <c r="B415" s="108"/>
      <c r="C415" s="108"/>
      <c r="D415" s="108"/>
      <c r="E415" s="108"/>
      <c r="F415" s="108"/>
      <c r="G415" s="108"/>
      <c r="H415" s="108"/>
    </row>
    <row r="416" spans="1:8" x14ac:dyDescent="0.25">
      <c r="A416" s="109"/>
      <c r="B416" s="108"/>
      <c r="C416" s="108"/>
      <c r="D416" s="108"/>
      <c r="E416" s="108"/>
      <c r="F416" s="108"/>
      <c r="G416" s="108"/>
      <c r="H416" s="108"/>
    </row>
    <row r="417" spans="1:8" x14ac:dyDescent="0.25">
      <c r="A417" s="109"/>
      <c r="B417" s="108"/>
      <c r="C417" s="108"/>
      <c r="D417" s="108"/>
      <c r="E417" s="108"/>
      <c r="F417" s="108"/>
      <c r="G417" s="108"/>
      <c r="H417" s="108"/>
    </row>
    <row r="418" spans="1:8" x14ac:dyDescent="0.25">
      <c r="A418" s="109"/>
      <c r="B418" s="108"/>
      <c r="C418" s="108"/>
      <c r="D418" s="108"/>
      <c r="E418" s="108"/>
      <c r="F418" s="108"/>
      <c r="G418" s="108"/>
      <c r="H418" s="108"/>
    </row>
    <row r="419" spans="1:8" x14ac:dyDescent="0.25">
      <c r="A419" s="109"/>
      <c r="B419" s="108"/>
      <c r="C419" s="108"/>
      <c r="D419" s="108"/>
      <c r="E419" s="108"/>
      <c r="F419" s="108"/>
      <c r="G419" s="108"/>
      <c r="H419" s="108"/>
    </row>
    <row r="420" spans="1:8" x14ac:dyDescent="0.25">
      <c r="A420" s="109"/>
      <c r="B420" s="108"/>
      <c r="C420" s="108"/>
      <c r="D420" s="108"/>
      <c r="E420" s="108"/>
      <c r="F420" s="108"/>
      <c r="G420" s="108"/>
      <c r="H420" s="108"/>
    </row>
    <row r="421" spans="1:8" x14ac:dyDescent="0.25">
      <c r="A421" s="109"/>
      <c r="B421" s="108"/>
      <c r="C421" s="108"/>
      <c r="D421" s="108"/>
      <c r="E421" s="108"/>
      <c r="F421" s="108"/>
      <c r="G421" s="108"/>
      <c r="H421" s="108"/>
    </row>
    <row r="422" spans="1:8" x14ac:dyDescent="0.25">
      <c r="A422" s="109"/>
      <c r="B422" s="108"/>
      <c r="C422" s="108"/>
      <c r="D422" s="108"/>
      <c r="E422" s="108"/>
      <c r="F422" s="108"/>
      <c r="G422" s="108"/>
      <c r="H422" s="108"/>
    </row>
    <row r="423" spans="1:8" x14ac:dyDescent="0.25">
      <c r="A423" s="109"/>
      <c r="B423" s="108"/>
      <c r="C423" s="108"/>
      <c r="D423" s="108"/>
      <c r="E423" s="108"/>
      <c r="F423" s="108"/>
      <c r="G423" s="108"/>
      <c r="H423" s="108"/>
    </row>
    <row r="424" spans="1:8" x14ac:dyDescent="0.25">
      <c r="A424" s="109"/>
      <c r="B424" s="108"/>
      <c r="C424" s="108"/>
      <c r="D424" s="108"/>
      <c r="E424" s="108"/>
      <c r="F424" s="108"/>
      <c r="G424" s="108"/>
      <c r="H424" s="108"/>
    </row>
    <row r="425" spans="1:8" x14ac:dyDescent="0.25">
      <c r="A425" s="109"/>
      <c r="B425" s="108"/>
      <c r="C425" s="108"/>
      <c r="D425" s="108"/>
      <c r="E425" s="108"/>
      <c r="F425" s="108"/>
      <c r="G425" s="108"/>
      <c r="H425" s="108"/>
    </row>
    <row r="426" spans="1:8" x14ac:dyDescent="0.25">
      <c r="A426" s="109"/>
      <c r="B426" s="108"/>
      <c r="C426" s="108"/>
      <c r="D426" s="108"/>
      <c r="E426" s="108"/>
      <c r="F426" s="108"/>
      <c r="G426" s="108"/>
      <c r="H426" s="108"/>
    </row>
    <row r="427" spans="1:8" x14ac:dyDescent="0.25">
      <c r="A427" s="109"/>
      <c r="B427" s="108"/>
      <c r="C427" s="108"/>
      <c r="D427" s="108"/>
      <c r="E427" s="108"/>
      <c r="F427" s="108"/>
      <c r="G427" s="108"/>
      <c r="H427" s="108"/>
    </row>
    <row r="428" spans="1:8" x14ac:dyDescent="0.25">
      <c r="A428" s="109"/>
      <c r="B428" s="108"/>
      <c r="C428" s="108"/>
      <c r="D428" s="108"/>
      <c r="E428" s="108"/>
      <c r="F428" s="108"/>
      <c r="G428" s="108"/>
      <c r="H428" s="108"/>
    </row>
    <row r="429" spans="1:8" x14ac:dyDescent="0.25">
      <c r="A429" s="109"/>
      <c r="B429" s="108"/>
      <c r="C429" s="108"/>
      <c r="D429" s="108"/>
      <c r="E429" s="108"/>
      <c r="F429" s="108"/>
      <c r="G429" s="108"/>
      <c r="H429" s="108"/>
    </row>
    <row r="430" spans="1:8" x14ac:dyDescent="0.25">
      <c r="A430" s="109"/>
      <c r="B430" s="108"/>
      <c r="C430" s="108"/>
      <c r="D430" s="108"/>
      <c r="E430" s="108"/>
      <c r="F430" s="108"/>
      <c r="G430" s="108"/>
      <c r="H430" s="108"/>
    </row>
    <row r="431" spans="1:8" x14ac:dyDescent="0.25">
      <c r="A431" s="109"/>
      <c r="B431" s="108"/>
      <c r="C431" s="108"/>
      <c r="D431" s="108"/>
      <c r="E431" s="108"/>
      <c r="F431" s="108"/>
      <c r="G431" s="108"/>
      <c r="H431" s="108"/>
    </row>
    <row r="432" spans="1:8" x14ac:dyDescent="0.25">
      <c r="A432" s="109"/>
      <c r="B432" s="108"/>
      <c r="C432" s="108"/>
      <c r="D432" s="108"/>
      <c r="E432" s="108"/>
      <c r="F432" s="108"/>
      <c r="G432" s="108"/>
      <c r="H432" s="108"/>
    </row>
    <row r="433" spans="1:8" x14ac:dyDescent="0.25">
      <c r="A433" s="109"/>
      <c r="B433" s="108"/>
      <c r="C433" s="108"/>
      <c r="D433" s="108"/>
      <c r="E433" s="108"/>
      <c r="F433" s="108"/>
      <c r="G433" s="108"/>
      <c r="H433" s="108"/>
    </row>
    <row r="434" spans="1:8" x14ac:dyDescent="0.25">
      <c r="A434" s="109"/>
      <c r="B434" s="108"/>
      <c r="C434" s="108"/>
      <c r="D434" s="108"/>
      <c r="E434" s="108"/>
      <c r="F434" s="108"/>
      <c r="G434" s="108"/>
      <c r="H434" s="108"/>
    </row>
    <row r="435" spans="1:8" x14ac:dyDescent="0.25">
      <c r="A435" s="109"/>
      <c r="B435" s="108"/>
      <c r="C435" s="108"/>
      <c r="D435" s="108"/>
      <c r="E435" s="108"/>
      <c r="F435" s="108"/>
      <c r="G435" s="108"/>
      <c r="H435" s="108"/>
    </row>
    <row r="436" spans="1:8" x14ac:dyDescent="0.25">
      <c r="A436" s="109"/>
      <c r="B436" s="108"/>
      <c r="C436" s="108"/>
      <c r="D436" s="108"/>
      <c r="E436" s="108"/>
      <c r="F436" s="108"/>
      <c r="G436" s="108"/>
      <c r="H436" s="108"/>
    </row>
    <row r="437" spans="1:8" x14ac:dyDescent="0.25">
      <c r="A437" s="109"/>
      <c r="B437" s="108"/>
      <c r="C437" s="108"/>
      <c r="D437" s="108"/>
      <c r="E437" s="108"/>
      <c r="F437" s="108"/>
      <c r="G437" s="108"/>
      <c r="H437" s="108"/>
    </row>
    <row r="438" spans="1:8" x14ac:dyDescent="0.25">
      <c r="A438" s="109"/>
      <c r="B438" s="108"/>
      <c r="C438" s="108"/>
      <c r="D438" s="108"/>
      <c r="E438" s="108"/>
      <c r="F438" s="108"/>
      <c r="G438" s="108"/>
      <c r="H438" s="108"/>
    </row>
    <row r="439" spans="1:8" x14ac:dyDescent="0.25">
      <c r="A439" s="109"/>
      <c r="B439" s="108"/>
      <c r="C439" s="108"/>
      <c r="D439" s="108"/>
      <c r="E439" s="108"/>
      <c r="F439" s="108"/>
      <c r="G439" s="108"/>
      <c r="H439" s="108"/>
    </row>
    <row r="440" spans="1:8" x14ac:dyDescent="0.25">
      <c r="A440" s="109"/>
      <c r="B440" s="108"/>
      <c r="C440" s="108"/>
      <c r="D440" s="108"/>
      <c r="E440" s="108"/>
      <c r="F440" s="108"/>
      <c r="G440" s="108"/>
      <c r="H440" s="108"/>
    </row>
    <row r="441" spans="1:8" x14ac:dyDescent="0.25">
      <c r="A441" s="109"/>
      <c r="B441" s="108"/>
      <c r="C441" s="108"/>
      <c r="D441" s="108"/>
      <c r="E441" s="108"/>
      <c r="F441" s="108"/>
      <c r="G441" s="108"/>
      <c r="H441" s="108"/>
    </row>
    <row r="442" spans="1:8" x14ac:dyDescent="0.25">
      <c r="A442" s="109"/>
      <c r="B442" s="108"/>
      <c r="C442" s="108"/>
      <c r="D442" s="108"/>
      <c r="E442" s="108"/>
      <c r="F442" s="108"/>
      <c r="G442" s="108"/>
      <c r="H442" s="108"/>
    </row>
    <row r="443" spans="1:8" x14ac:dyDescent="0.25">
      <c r="A443" s="109"/>
      <c r="B443" s="108"/>
      <c r="C443" s="108"/>
      <c r="D443" s="108"/>
      <c r="E443" s="108"/>
      <c r="F443" s="108"/>
      <c r="G443" s="108"/>
      <c r="H443" s="108"/>
    </row>
    <row r="444" spans="1:8" x14ac:dyDescent="0.25">
      <c r="A444" s="109"/>
      <c r="B444" s="108"/>
      <c r="C444" s="108"/>
      <c r="D444" s="108"/>
      <c r="E444" s="108"/>
      <c r="F444" s="108"/>
      <c r="G444" s="108"/>
      <c r="H444" s="108"/>
    </row>
    <row r="445" spans="1:8" x14ac:dyDescent="0.25">
      <c r="A445" s="109"/>
      <c r="B445" s="108"/>
      <c r="C445" s="108"/>
      <c r="D445" s="108"/>
      <c r="E445" s="108"/>
      <c r="F445" s="108"/>
      <c r="G445" s="108"/>
      <c r="H445" s="108"/>
    </row>
    <row r="446" spans="1:8" x14ac:dyDescent="0.25">
      <c r="A446" s="109"/>
      <c r="B446" s="108"/>
      <c r="C446" s="108"/>
      <c r="D446" s="108"/>
      <c r="E446" s="108"/>
      <c r="F446" s="108"/>
      <c r="G446" s="108"/>
      <c r="H446" s="108"/>
    </row>
    <row r="447" spans="1:8" x14ac:dyDescent="0.25">
      <c r="A447" s="109"/>
      <c r="B447" s="108"/>
      <c r="C447" s="108"/>
      <c r="D447" s="108"/>
      <c r="E447" s="108"/>
      <c r="F447" s="108"/>
      <c r="G447" s="108"/>
      <c r="H447" s="108"/>
    </row>
    <row r="448" spans="1:8" x14ac:dyDescent="0.25">
      <c r="A448" s="109"/>
      <c r="B448" s="108"/>
      <c r="C448" s="108"/>
      <c r="D448" s="108"/>
      <c r="E448" s="108"/>
      <c r="F448" s="108"/>
      <c r="G448" s="108"/>
      <c r="H448" s="108"/>
    </row>
    <row r="449" spans="1:8" x14ac:dyDescent="0.25">
      <c r="A449" s="109"/>
      <c r="B449" s="108"/>
      <c r="C449" s="108"/>
      <c r="D449" s="108"/>
      <c r="E449" s="108"/>
      <c r="F449" s="108"/>
      <c r="G449" s="108"/>
      <c r="H449" s="108"/>
    </row>
    <row r="450" spans="1:8" x14ac:dyDescent="0.25">
      <c r="A450" s="109"/>
      <c r="B450" s="108"/>
      <c r="C450" s="108"/>
      <c r="D450" s="108"/>
      <c r="E450" s="108"/>
      <c r="F450" s="108"/>
      <c r="G450" s="108"/>
      <c r="H450" s="108"/>
    </row>
    <row r="451" spans="1:8" x14ac:dyDescent="0.25">
      <c r="A451" s="109"/>
      <c r="B451" s="108"/>
      <c r="C451" s="108"/>
      <c r="D451" s="108"/>
      <c r="E451" s="108"/>
      <c r="F451" s="108"/>
      <c r="G451" s="108"/>
      <c r="H451" s="108"/>
    </row>
    <row r="452" spans="1:8" x14ac:dyDescent="0.25">
      <c r="A452" s="109"/>
      <c r="B452" s="108"/>
      <c r="C452" s="108"/>
      <c r="D452" s="108"/>
      <c r="E452" s="108"/>
      <c r="F452" s="108"/>
      <c r="G452" s="108"/>
      <c r="H452" s="108"/>
    </row>
    <row r="453" spans="1:8" x14ac:dyDescent="0.25">
      <c r="A453" s="109"/>
      <c r="B453" s="108"/>
      <c r="C453" s="108"/>
      <c r="D453" s="108"/>
      <c r="E453" s="108"/>
      <c r="F453" s="108"/>
      <c r="G453" s="108"/>
      <c r="H453" s="108"/>
    </row>
    <row r="454" spans="1:8" x14ac:dyDescent="0.25">
      <c r="A454" s="109"/>
      <c r="B454" s="108"/>
      <c r="C454" s="108"/>
      <c r="D454" s="108"/>
      <c r="E454" s="108"/>
      <c r="F454" s="108"/>
      <c r="G454" s="108"/>
      <c r="H454" s="108"/>
    </row>
    <row r="455" spans="1:8" x14ac:dyDescent="0.25">
      <c r="A455" s="109"/>
      <c r="B455" s="108"/>
      <c r="C455" s="108"/>
      <c r="D455" s="108"/>
      <c r="E455" s="108"/>
      <c r="F455" s="108"/>
      <c r="G455" s="108"/>
      <c r="H455" s="108"/>
    </row>
    <row r="456" spans="1:8" x14ac:dyDescent="0.25">
      <c r="A456" s="109"/>
      <c r="B456" s="108"/>
      <c r="C456" s="108"/>
      <c r="D456" s="108"/>
      <c r="E456" s="108"/>
      <c r="F456" s="108"/>
      <c r="G456" s="108"/>
      <c r="H456" s="108"/>
    </row>
    <row r="457" spans="1:8" x14ac:dyDescent="0.25">
      <c r="A457" s="109"/>
      <c r="B457" s="108"/>
      <c r="C457" s="108"/>
      <c r="D457" s="108"/>
      <c r="E457" s="108"/>
      <c r="F457" s="108"/>
      <c r="G457" s="108"/>
      <c r="H457" s="108"/>
    </row>
    <row r="458" spans="1:8" x14ac:dyDescent="0.25">
      <c r="A458" s="109"/>
      <c r="B458" s="108"/>
      <c r="C458" s="108"/>
      <c r="D458" s="108"/>
      <c r="E458" s="108"/>
      <c r="F458" s="108"/>
      <c r="G458" s="108"/>
      <c r="H458" s="108"/>
    </row>
    <row r="459" spans="1:8" x14ac:dyDescent="0.25">
      <c r="A459" s="109"/>
      <c r="B459" s="108"/>
      <c r="C459" s="108"/>
      <c r="D459" s="108"/>
      <c r="E459" s="108"/>
      <c r="F459" s="108"/>
      <c r="G459" s="108"/>
      <c r="H459" s="108"/>
    </row>
    <row r="460" spans="1:8" x14ac:dyDescent="0.25">
      <c r="A460" s="109"/>
      <c r="B460" s="108"/>
      <c r="C460" s="108"/>
      <c r="D460" s="108"/>
      <c r="E460" s="108"/>
      <c r="F460" s="108"/>
      <c r="G460" s="108"/>
      <c r="H460" s="108"/>
    </row>
    <row r="461" spans="1:8" x14ac:dyDescent="0.25">
      <c r="A461" s="109"/>
      <c r="B461" s="108"/>
      <c r="C461" s="108"/>
      <c r="D461" s="108"/>
      <c r="E461" s="108"/>
      <c r="F461" s="108"/>
      <c r="G461" s="108"/>
      <c r="H461" s="108"/>
    </row>
    <row r="462" spans="1:8" x14ac:dyDescent="0.25">
      <c r="A462" s="109"/>
      <c r="B462" s="108"/>
      <c r="C462" s="108"/>
      <c r="D462" s="108"/>
      <c r="E462" s="108"/>
      <c r="F462" s="108"/>
      <c r="G462" s="108"/>
      <c r="H462" s="108"/>
    </row>
    <row r="463" spans="1:8" x14ac:dyDescent="0.25">
      <c r="A463" s="109"/>
      <c r="B463" s="108"/>
      <c r="C463" s="108"/>
      <c r="D463" s="108"/>
      <c r="E463" s="108"/>
      <c r="F463" s="108"/>
      <c r="G463" s="108"/>
      <c r="H463" s="108"/>
    </row>
    <row r="464" spans="1:8" x14ac:dyDescent="0.25">
      <c r="A464" s="109"/>
      <c r="B464" s="108"/>
      <c r="C464" s="108"/>
      <c r="D464" s="108"/>
      <c r="E464" s="108"/>
      <c r="F464" s="108"/>
      <c r="G464" s="108"/>
      <c r="H464" s="108"/>
    </row>
    <row r="465" spans="1:8" x14ac:dyDescent="0.25">
      <c r="A465" s="109"/>
      <c r="B465" s="108"/>
      <c r="C465" s="108"/>
      <c r="D465" s="108"/>
      <c r="E465" s="108"/>
      <c r="F465" s="108"/>
      <c r="G465" s="108"/>
      <c r="H465" s="108"/>
    </row>
    <row r="466" spans="1:8" x14ac:dyDescent="0.25">
      <c r="A466" s="109"/>
      <c r="B466" s="108"/>
      <c r="C466" s="108"/>
      <c r="D466" s="108"/>
      <c r="E466" s="108"/>
      <c r="F466" s="108"/>
      <c r="G466" s="108"/>
      <c r="H466" s="108"/>
    </row>
    <row r="467" spans="1:8" x14ac:dyDescent="0.25">
      <c r="A467" s="109"/>
      <c r="B467" s="108"/>
      <c r="C467" s="108"/>
      <c r="D467" s="108"/>
      <c r="E467" s="108"/>
      <c r="F467" s="108"/>
      <c r="G467" s="108"/>
      <c r="H467" s="108"/>
    </row>
    <row r="468" spans="1:8" x14ac:dyDescent="0.25">
      <c r="A468" s="109"/>
      <c r="B468" s="108"/>
      <c r="C468" s="108"/>
      <c r="D468" s="108"/>
      <c r="E468" s="108"/>
      <c r="F468" s="108"/>
      <c r="G468" s="108"/>
      <c r="H468" s="108"/>
    </row>
    <row r="469" spans="1:8" x14ac:dyDescent="0.25">
      <c r="A469" s="109"/>
      <c r="B469" s="108"/>
      <c r="C469" s="108"/>
      <c r="D469" s="108"/>
      <c r="E469" s="108"/>
      <c r="F469" s="108"/>
      <c r="G469" s="108"/>
      <c r="H469" s="108"/>
    </row>
    <row r="470" spans="1:8" x14ac:dyDescent="0.25">
      <c r="A470" s="109"/>
      <c r="B470" s="108"/>
      <c r="C470" s="108"/>
      <c r="D470" s="108"/>
      <c r="E470" s="108"/>
      <c r="F470" s="108"/>
      <c r="G470" s="108"/>
      <c r="H470" s="108"/>
    </row>
    <row r="471" spans="1:8" x14ac:dyDescent="0.25">
      <c r="A471" s="109"/>
      <c r="B471" s="108"/>
      <c r="C471" s="108"/>
      <c r="D471" s="108"/>
      <c r="E471" s="108"/>
      <c r="F471" s="108"/>
      <c r="G471" s="108"/>
      <c r="H471" s="108"/>
    </row>
    <row r="472" spans="1:8" x14ac:dyDescent="0.25">
      <c r="A472" s="109"/>
      <c r="B472" s="108"/>
      <c r="C472" s="108"/>
      <c r="D472" s="108"/>
      <c r="E472" s="108"/>
      <c r="F472" s="108"/>
      <c r="G472" s="108"/>
      <c r="H472" s="108"/>
    </row>
    <row r="473" spans="1:8" x14ac:dyDescent="0.25">
      <c r="A473" s="109"/>
      <c r="B473" s="108"/>
      <c r="C473" s="108"/>
      <c r="D473" s="108"/>
      <c r="E473" s="108"/>
      <c r="F473" s="108"/>
      <c r="G473" s="108"/>
      <c r="H473" s="108"/>
    </row>
    <row r="474" spans="1:8" x14ac:dyDescent="0.25">
      <c r="A474" s="109"/>
      <c r="B474" s="108"/>
      <c r="C474" s="108"/>
      <c r="D474" s="108"/>
      <c r="E474" s="108"/>
      <c r="F474" s="108"/>
      <c r="G474" s="108"/>
      <c r="H474" s="108"/>
    </row>
    <row r="475" spans="1:8" x14ac:dyDescent="0.25">
      <c r="A475" s="109"/>
      <c r="B475" s="108"/>
      <c r="C475" s="108"/>
      <c r="D475" s="108"/>
      <c r="E475" s="108"/>
      <c r="F475" s="108"/>
      <c r="G475" s="108"/>
      <c r="H475" s="108"/>
    </row>
    <row r="476" spans="1:8" x14ac:dyDescent="0.25">
      <c r="A476" s="109"/>
      <c r="B476" s="108"/>
      <c r="C476" s="108"/>
      <c r="D476" s="108"/>
      <c r="E476" s="108"/>
      <c r="F476" s="108"/>
      <c r="G476" s="108"/>
      <c r="H476" s="108"/>
    </row>
    <row r="477" spans="1:8" x14ac:dyDescent="0.25">
      <c r="A477" s="109"/>
      <c r="B477" s="108"/>
      <c r="C477" s="108"/>
      <c r="D477" s="108"/>
      <c r="E477" s="108"/>
      <c r="F477" s="108"/>
      <c r="G477" s="108"/>
      <c r="H477" s="108"/>
    </row>
    <row r="478" spans="1:8" x14ac:dyDescent="0.25">
      <c r="A478" s="109"/>
      <c r="B478" s="108"/>
      <c r="C478" s="108"/>
      <c r="D478" s="108"/>
      <c r="E478" s="108"/>
      <c r="F478" s="108"/>
      <c r="G478" s="108"/>
      <c r="H478" s="108"/>
    </row>
    <row r="479" spans="1:8" x14ac:dyDescent="0.25">
      <c r="A479" s="109"/>
      <c r="B479" s="108"/>
      <c r="C479" s="108"/>
      <c r="D479" s="108"/>
      <c r="E479" s="108"/>
      <c r="F479" s="108"/>
      <c r="G479" s="108"/>
      <c r="H479" s="108"/>
    </row>
    <row r="480" spans="1:8" x14ac:dyDescent="0.25">
      <c r="A480" s="109"/>
      <c r="B480" s="108"/>
      <c r="C480" s="108"/>
      <c r="D480" s="108"/>
      <c r="E480" s="108"/>
      <c r="F480" s="108"/>
      <c r="G480" s="108"/>
      <c r="H480" s="108"/>
    </row>
    <row r="481" spans="1:8" x14ac:dyDescent="0.25">
      <c r="A481" s="109"/>
      <c r="B481" s="108"/>
      <c r="C481" s="108"/>
      <c r="D481" s="108"/>
      <c r="E481" s="108"/>
      <c r="F481" s="108"/>
      <c r="G481" s="108"/>
      <c r="H481" s="108"/>
    </row>
    <row r="482" spans="1:8" x14ac:dyDescent="0.25">
      <c r="A482" s="109"/>
      <c r="B482" s="108"/>
      <c r="C482" s="108"/>
      <c r="D482" s="108"/>
      <c r="E482" s="108"/>
      <c r="F482" s="108"/>
      <c r="G482" s="108"/>
      <c r="H482" s="108"/>
    </row>
    <row r="483" spans="1:8" x14ac:dyDescent="0.25">
      <c r="A483" s="109"/>
      <c r="B483" s="108"/>
      <c r="C483" s="108"/>
      <c r="D483" s="108"/>
      <c r="E483" s="108"/>
      <c r="F483" s="108"/>
      <c r="G483" s="108"/>
      <c r="H483" s="108"/>
    </row>
    <row r="484" spans="1:8" x14ac:dyDescent="0.25">
      <c r="A484" s="109"/>
      <c r="B484" s="108"/>
      <c r="C484" s="108"/>
      <c r="D484" s="108"/>
      <c r="E484" s="108"/>
      <c r="F484" s="108"/>
      <c r="G484" s="108"/>
      <c r="H484" s="108"/>
    </row>
    <row r="485" spans="1:8" x14ac:dyDescent="0.25">
      <c r="A485" s="109"/>
      <c r="B485" s="108"/>
      <c r="C485" s="108"/>
      <c r="D485" s="108"/>
      <c r="E485" s="108"/>
      <c r="F485" s="108"/>
      <c r="G485" s="108"/>
      <c r="H485" s="108"/>
    </row>
    <row r="486" spans="1:8" x14ac:dyDescent="0.25">
      <c r="A486" s="109"/>
      <c r="B486" s="108"/>
      <c r="C486" s="108"/>
      <c r="D486" s="108"/>
      <c r="E486" s="108"/>
      <c r="F486" s="108"/>
      <c r="G486" s="108"/>
      <c r="H486" s="108"/>
    </row>
    <row r="487" spans="1:8" x14ac:dyDescent="0.25">
      <c r="A487" s="109"/>
      <c r="B487" s="108"/>
      <c r="C487" s="108"/>
      <c r="D487" s="108"/>
      <c r="E487" s="108"/>
      <c r="F487" s="108"/>
      <c r="G487" s="108"/>
      <c r="H487" s="108"/>
    </row>
    <row r="488" spans="1:8" x14ac:dyDescent="0.25">
      <c r="A488" s="109"/>
      <c r="B488" s="108"/>
      <c r="C488" s="108"/>
      <c r="D488" s="108"/>
      <c r="E488" s="108"/>
      <c r="F488" s="108"/>
      <c r="G488" s="108"/>
      <c r="H488" s="108"/>
    </row>
    <row r="489" spans="1:8" x14ac:dyDescent="0.25">
      <c r="A489" s="109"/>
      <c r="B489" s="108"/>
      <c r="C489" s="108"/>
      <c r="D489" s="108"/>
      <c r="E489" s="108"/>
      <c r="F489" s="108"/>
      <c r="G489" s="108"/>
      <c r="H489" s="108"/>
    </row>
    <row r="490" spans="1:8" x14ac:dyDescent="0.25">
      <c r="A490" s="109"/>
      <c r="B490" s="108"/>
      <c r="C490" s="108"/>
      <c r="D490" s="108"/>
      <c r="E490" s="108"/>
      <c r="F490" s="108"/>
      <c r="G490" s="108"/>
      <c r="H490" s="108"/>
    </row>
    <row r="491" spans="1:8" x14ac:dyDescent="0.25">
      <c r="A491" s="109"/>
      <c r="B491" s="108"/>
      <c r="C491" s="108"/>
      <c r="D491" s="108"/>
      <c r="E491" s="108"/>
      <c r="F491" s="108"/>
      <c r="G491" s="108"/>
      <c r="H491" s="108"/>
    </row>
    <row r="492" spans="1:8" x14ac:dyDescent="0.25">
      <c r="A492" s="109"/>
      <c r="B492" s="108"/>
      <c r="C492" s="108"/>
      <c r="D492" s="108"/>
      <c r="E492" s="108"/>
      <c r="F492" s="108"/>
      <c r="G492" s="108"/>
      <c r="H492" s="108"/>
    </row>
    <row r="493" spans="1:8" x14ac:dyDescent="0.25">
      <c r="A493" s="109"/>
      <c r="B493" s="108"/>
      <c r="C493" s="108"/>
      <c r="D493" s="108"/>
      <c r="E493" s="108"/>
      <c r="F493" s="108"/>
      <c r="G493" s="108"/>
      <c r="H493" s="108"/>
    </row>
    <row r="494" spans="1:8" x14ac:dyDescent="0.25">
      <c r="A494" s="109"/>
      <c r="B494" s="108"/>
      <c r="C494" s="108"/>
      <c r="D494" s="108"/>
      <c r="E494" s="108"/>
      <c r="F494" s="108"/>
      <c r="G494" s="108"/>
      <c r="H494" s="108"/>
    </row>
    <row r="495" spans="1:8" x14ac:dyDescent="0.25">
      <c r="A495" s="109"/>
      <c r="B495" s="108"/>
      <c r="C495" s="108"/>
      <c r="D495" s="108"/>
      <c r="E495" s="108"/>
      <c r="F495" s="108"/>
      <c r="G495" s="108"/>
      <c r="H495" s="108"/>
    </row>
    <row r="496" spans="1:8" x14ac:dyDescent="0.25">
      <c r="A496" s="109"/>
      <c r="B496" s="108"/>
      <c r="C496" s="108"/>
      <c r="D496" s="108"/>
      <c r="E496" s="108"/>
      <c r="F496" s="108"/>
      <c r="G496" s="108"/>
      <c r="H496" s="108"/>
    </row>
    <row r="497" spans="1:8" x14ac:dyDescent="0.25">
      <c r="A497" s="109"/>
      <c r="B497" s="108"/>
      <c r="C497" s="108"/>
      <c r="D497" s="108"/>
      <c r="E497" s="108"/>
      <c r="F497" s="108"/>
      <c r="G497" s="108"/>
      <c r="H497" s="108"/>
    </row>
    <row r="498" spans="1:8" x14ac:dyDescent="0.25">
      <c r="A498" s="109"/>
      <c r="B498" s="108"/>
      <c r="C498" s="108"/>
      <c r="D498" s="108"/>
      <c r="E498" s="108"/>
      <c r="F498" s="108"/>
      <c r="G498" s="108"/>
      <c r="H498" s="108"/>
    </row>
    <row r="499" spans="1:8" x14ac:dyDescent="0.25">
      <c r="A499" s="109"/>
      <c r="B499" s="108"/>
      <c r="C499" s="108"/>
      <c r="D499" s="108"/>
      <c r="E499" s="108"/>
      <c r="F499" s="108"/>
      <c r="G499" s="108"/>
      <c r="H499" s="108"/>
    </row>
    <row r="500" spans="1:8" x14ac:dyDescent="0.25">
      <c r="A500" s="109"/>
      <c r="B500" s="108"/>
      <c r="C500" s="108"/>
      <c r="D500" s="108"/>
      <c r="E500" s="108"/>
      <c r="F500" s="108"/>
      <c r="G500" s="108"/>
      <c r="H500" s="108"/>
    </row>
    <row r="501" spans="1:8" x14ac:dyDescent="0.25">
      <c r="A501" s="109"/>
      <c r="B501" s="108"/>
      <c r="C501" s="108"/>
      <c r="D501" s="108"/>
      <c r="E501" s="108"/>
      <c r="F501" s="108"/>
      <c r="G501" s="108"/>
      <c r="H501" s="108"/>
    </row>
    <row r="502" spans="1:8" x14ac:dyDescent="0.25">
      <c r="A502" s="109"/>
      <c r="B502" s="108"/>
      <c r="C502" s="108"/>
      <c r="D502" s="108"/>
      <c r="E502" s="108"/>
      <c r="F502" s="108"/>
      <c r="G502" s="108"/>
      <c r="H502" s="108"/>
    </row>
    <row r="503" spans="1:8" x14ac:dyDescent="0.25">
      <c r="A503" s="109"/>
      <c r="B503" s="108"/>
      <c r="C503" s="108"/>
      <c r="D503" s="108"/>
      <c r="E503" s="108"/>
      <c r="F503" s="108"/>
      <c r="G503" s="108"/>
      <c r="H503" s="108"/>
    </row>
    <row r="504" spans="1:8" x14ac:dyDescent="0.25">
      <c r="A504" s="109"/>
      <c r="B504" s="108"/>
      <c r="C504" s="108"/>
      <c r="D504" s="108"/>
      <c r="E504" s="108"/>
      <c r="F504" s="108"/>
      <c r="G504" s="108"/>
      <c r="H504" s="108"/>
    </row>
    <row r="505" spans="1:8" x14ac:dyDescent="0.25">
      <c r="A505" s="109"/>
      <c r="B505" s="108"/>
      <c r="C505" s="108"/>
      <c r="D505" s="108"/>
      <c r="E505" s="108"/>
      <c r="F505" s="108"/>
      <c r="G505" s="108"/>
      <c r="H505" s="108"/>
    </row>
    <row r="506" spans="1:8" x14ac:dyDescent="0.25">
      <c r="A506" s="109"/>
      <c r="B506" s="108"/>
      <c r="C506" s="108"/>
      <c r="D506" s="108"/>
      <c r="E506" s="108"/>
      <c r="F506" s="108"/>
      <c r="G506" s="108"/>
      <c r="H506" s="108"/>
    </row>
    <row r="507" spans="1:8" x14ac:dyDescent="0.25">
      <c r="A507" s="109"/>
      <c r="B507" s="108"/>
      <c r="C507" s="108"/>
      <c r="D507" s="108"/>
      <c r="E507" s="108"/>
      <c r="F507" s="108"/>
      <c r="G507" s="108"/>
      <c r="H507" s="108"/>
    </row>
    <row r="508" spans="1:8" x14ac:dyDescent="0.25">
      <c r="A508" s="109"/>
      <c r="B508" s="108"/>
      <c r="C508" s="108"/>
      <c r="D508" s="108"/>
      <c r="E508" s="108"/>
      <c r="F508" s="108"/>
      <c r="G508" s="108"/>
      <c r="H508" s="108"/>
    </row>
    <row r="509" spans="1:8" x14ac:dyDescent="0.25">
      <c r="A509" s="109"/>
      <c r="B509" s="108"/>
      <c r="C509" s="108"/>
      <c r="D509" s="108"/>
      <c r="E509" s="108"/>
      <c r="F509" s="108"/>
      <c r="G509" s="108"/>
      <c r="H509" s="108"/>
    </row>
    <row r="510" spans="1:8" x14ac:dyDescent="0.25">
      <c r="A510" s="109"/>
      <c r="B510" s="108"/>
      <c r="C510" s="108"/>
      <c r="D510" s="108"/>
      <c r="E510" s="108"/>
      <c r="F510" s="108"/>
      <c r="G510" s="108"/>
      <c r="H510" s="108"/>
    </row>
    <row r="511" spans="1:8" x14ac:dyDescent="0.25">
      <c r="A511" s="109"/>
      <c r="B511" s="108"/>
      <c r="C511" s="108"/>
      <c r="D511" s="108"/>
      <c r="E511" s="108"/>
      <c r="F511" s="108"/>
      <c r="G511" s="108"/>
      <c r="H511" s="108"/>
    </row>
    <row r="512" spans="1:8" x14ac:dyDescent="0.25">
      <c r="A512" s="109"/>
      <c r="B512" s="108"/>
      <c r="C512" s="108"/>
      <c r="D512" s="108"/>
      <c r="E512" s="108"/>
      <c r="F512" s="108"/>
      <c r="G512" s="108"/>
      <c r="H512" s="108"/>
    </row>
    <row r="513" spans="1:8" x14ac:dyDescent="0.25">
      <c r="A513" s="109"/>
      <c r="B513" s="108"/>
      <c r="C513" s="108"/>
      <c r="D513" s="108"/>
      <c r="E513" s="108"/>
      <c r="F513" s="108"/>
      <c r="G513" s="108"/>
      <c r="H513" s="108"/>
    </row>
    <row r="514" spans="1:8" x14ac:dyDescent="0.25">
      <c r="A514" s="109"/>
      <c r="B514" s="108"/>
      <c r="C514" s="108"/>
      <c r="D514" s="108"/>
      <c r="E514" s="108"/>
      <c r="F514" s="108"/>
      <c r="G514" s="108"/>
      <c r="H514" s="108"/>
    </row>
    <row r="515" spans="1:8" x14ac:dyDescent="0.25">
      <c r="A515" s="109"/>
      <c r="B515" s="108"/>
      <c r="C515" s="108"/>
      <c r="D515" s="108"/>
      <c r="E515" s="108"/>
      <c r="F515" s="108"/>
      <c r="G515" s="108"/>
      <c r="H515" s="108"/>
    </row>
    <row r="516" spans="1:8" x14ac:dyDescent="0.25">
      <c r="A516" s="109"/>
      <c r="B516" s="108"/>
      <c r="C516" s="108"/>
      <c r="D516" s="108"/>
      <c r="E516" s="108"/>
      <c r="F516" s="108"/>
      <c r="G516" s="108"/>
      <c r="H516" s="108"/>
    </row>
    <row r="517" spans="1:8" x14ac:dyDescent="0.25">
      <c r="A517" s="109"/>
      <c r="B517" s="108"/>
      <c r="C517" s="108"/>
      <c r="D517" s="108"/>
      <c r="E517" s="108"/>
      <c r="F517" s="108"/>
      <c r="G517" s="108"/>
      <c r="H517" s="108"/>
    </row>
    <row r="518" spans="1:8" x14ac:dyDescent="0.25">
      <c r="A518" s="109"/>
      <c r="B518" s="108"/>
      <c r="C518" s="108"/>
      <c r="D518" s="108"/>
      <c r="E518" s="108"/>
      <c r="F518" s="108"/>
      <c r="G518" s="108"/>
      <c r="H518" s="108"/>
    </row>
    <row r="519" spans="1:8" x14ac:dyDescent="0.25">
      <c r="A519" s="109"/>
      <c r="B519" s="108"/>
      <c r="C519" s="108"/>
      <c r="D519" s="108"/>
      <c r="E519" s="108"/>
      <c r="F519" s="108"/>
      <c r="G519" s="108"/>
      <c r="H519" s="108"/>
    </row>
    <row r="520" spans="1:8" x14ac:dyDescent="0.25">
      <c r="A520" s="109"/>
      <c r="B520" s="108"/>
      <c r="C520" s="108"/>
      <c r="D520" s="108"/>
      <c r="E520" s="108"/>
      <c r="F520" s="108"/>
      <c r="G520" s="108"/>
      <c r="H520" s="108"/>
    </row>
    <row r="521" spans="1:8" x14ac:dyDescent="0.25">
      <c r="A521" s="110"/>
      <c r="B521" s="111"/>
      <c r="C521" s="111"/>
      <c r="D521" s="111"/>
      <c r="E521" s="111"/>
      <c r="F521" s="111"/>
      <c r="G521" s="111"/>
      <c r="H521" s="111"/>
    </row>
  </sheetData>
  <conditionalFormatting sqref="C1:C1048576">
    <cfRule type="cellIs" dxfId="13" priority="1" operator="equal">
      <formula>"klippy_disconnect"</formula>
    </cfRule>
    <cfRule type="cellIs" dxfId="12" priority="2" operator="equal">
      <formula>"completed"</formula>
    </cfRule>
    <cfRule type="containsText" dxfId="11" priority="3" operator="containsText" text="klippy_shutdown">
      <formula>NOT(ISERROR(SEARCH("klippy_shutdown",C1)))</formula>
    </cfRule>
    <cfRule type="containsText" dxfId="10" priority="4" operator="containsText" text="cancelled">
      <formula>NOT(ISERROR(SEARCH("cancelled",C1)))</formula>
    </cfRule>
    <cfRule type="containsText" dxfId="9" priority="5" operator="containsText" text="error">
      <formula>NOT(ISERROR(SEARCH("error",C1)))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3290DF-7C3C-45A1-B19A-993F30EE4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Калькулятор печати</vt:lpstr>
      <vt:lpstr>Материалы</vt:lpstr>
      <vt:lpstr>print_history</vt:lpstr>
      <vt:lpstr>printjob</vt:lpstr>
      <vt:lpstr>Материалы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Shirinkin</dc:creator>
  <cp:lastModifiedBy>CIR PK</cp:lastModifiedBy>
  <dcterms:created xsi:type="dcterms:W3CDTF">2025-02-05T17:45:41Z</dcterms:created>
  <dcterms:modified xsi:type="dcterms:W3CDTF">2026-09-08T09:16:47Z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TEDDL1">
    <vt:lpwstr>'Калькулятор печати'!$A$19:$A$24-T, FLS</vt:lpwstr>
  </property>
</Properties>
</file>